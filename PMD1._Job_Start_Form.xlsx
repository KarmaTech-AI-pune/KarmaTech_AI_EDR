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4640" windowHeight="7755"/>
  </bookViews>
  <sheets>
    <sheet name="Job Start Form" sheetId="2" r:id="rId1"/>
  </sheets>
  <calcPr calcId="145621"/>
</workbook>
</file>

<file path=xl/calcChain.xml><?xml version="1.0" encoding="utf-8"?>
<calcChain xmlns="http://schemas.openxmlformats.org/spreadsheetml/2006/main">
  <c r="H63" i="2" l="1"/>
  <c r="I45" i="2"/>
  <c r="I55" i="2" s="1"/>
  <c r="J37" i="2"/>
  <c r="I37" i="2"/>
  <c r="I33" i="2"/>
  <c r="G32" i="2"/>
  <c r="G31" i="2"/>
  <c r="H30" i="2"/>
  <c r="G30" i="2"/>
  <c r="H29" i="2"/>
  <c r="G29" i="2"/>
  <c r="I28" i="2" l="1"/>
  <c r="I38" i="2" s="1"/>
  <c r="I56" i="2" s="1"/>
  <c r="I57" i="2" s="1"/>
  <c r="I58" i="2" s="1"/>
  <c r="I59" i="2" l="1"/>
  <c r="I60" i="2" s="1"/>
</calcChain>
</file>

<file path=xl/comments1.xml><?xml version="1.0" encoding="utf-8"?>
<comments xmlns="http://schemas.openxmlformats.org/spreadsheetml/2006/main">
  <authors>
    <author>Mahesh</author>
  </authors>
  <commentList>
    <comment ref="K54" authorId="0">
      <text>
        <r>
          <rPr>
            <sz val="8"/>
            <color indexed="81"/>
            <rFont val="Tahoma"/>
            <family val="2"/>
          </rPr>
          <t>33.99% on 5% of travel expenses, hotel, and 20% of conveyance, telephone, gifts, entertainment</t>
        </r>
      </text>
    </comment>
    <comment ref="K58" authorId="0">
      <text>
        <r>
          <rPr>
            <sz val="8"/>
            <color indexed="81"/>
            <rFont val="Tahoma"/>
            <family val="2"/>
          </rPr>
          <t>If required, the formula for calculating 'Job Fees for IMS' from 'Fees incl. S.T' is 
=IF(G48&gt;0,(+G48*1/(1+E47)),)
Copy and paste formula in G46</t>
        </r>
      </text>
    </comment>
  </commentList>
</comments>
</file>

<file path=xl/sharedStrings.xml><?xml version="1.0" encoding="utf-8"?>
<sst xmlns="http://schemas.openxmlformats.org/spreadsheetml/2006/main" count="89" uniqueCount="82">
  <si>
    <t>Sr. No.</t>
  </si>
  <si>
    <t>Cost Head</t>
  </si>
  <si>
    <t>Budgeted Cost (Rs.)</t>
  </si>
  <si>
    <t>Remarks</t>
  </si>
  <si>
    <t>1a</t>
  </si>
  <si>
    <t>1b</t>
  </si>
  <si>
    <t>TOTAL TIME COST</t>
  </si>
  <si>
    <t>2a</t>
  </si>
  <si>
    <t>Travel</t>
  </si>
  <si>
    <t>2b</t>
  </si>
  <si>
    <t>Subsistence</t>
  </si>
  <si>
    <t>Local conveyance</t>
  </si>
  <si>
    <t>Communications</t>
  </si>
  <si>
    <t>Stationery and printing</t>
  </si>
  <si>
    <t>6a</t>
  </si>
  <si>
    <t>6b</t>
  </si>
  <si>
    <t>6c</t>
  </si>
  <si>
    <t xml:space="preserve">Profit </t>
  </si>
  <si>
    <t>FEES INCL. SER. TAX</t>
  </si>
  <si>
    <t>Employee Personnel</t>
  </si>
  <si>
    <t>Rate (Rs)</t>
  </si>
  <si>
    <t>Units</t>
  </si>
  <si>
    <t>b</t>
  </si>
  <si>
    <t>c</t>
  </si>
  <si>
    <t>a</t>
  </si>
  <si>
    <t>1.0 TIME</t>
  </si>
  <si>
    <t>Project specific item 3</t>
  </si>
  <si>
    <t>Project specific item 4</t>
  </si>
  <si>
    <t>Project specific item 5</t>
  </si>
  <si>
    <t>6d</t>
  </si>
  <si>
    <t>6e</t>
  </si>
  <si>
    <t>TOTAL T &amp; E COST</t>
  </si>
  <si>
    <t xml:space="preserve">Name: </t>
  </si>
  <si>
    <t>Signature:</t>
  </si>
  <si>
    <t>Date:</t>
  </si>
  <si>
    <t>Client’s Authorization:</t>
  </si>
  <si>
    <t>Currency:</t>
  </si>
  <si>
    <t>Client Information:</t>
  </si>
  <si>
    <t>Tel:</t>
  </si>
  <si>
    <t>Fax:</t>
  </si>
  <si>
    <t>Email:</t>
  </si>
  <si>
    <t>1 + 2</t>
  </si>
  <si>
    <t>Part of ODC</t>
  </si>
  <si>
    <t>Time Contingencies</t>
  </si>
  <si>
    <t>Expense Contingencies</t>
  </si>
  <si>
    <t>TOTAL EXPENSES (ODC)</t>
  </si>
  <si>
    <t>OHF=1.6.</t>
  </si>
  <si>
    <t>Units      (Hours)</t>
  </si>
  <si>
    <t>Job Start Form</t>
  </si>
  <si>
    <t>Vidyadhar Vengurlekar</t>
  </si>
  <si>
    <t>Mandar Pimputkar</t>
  </si>
  <si>
    <t>Manasi Bapat</t>
  </si>
  <si>
    <t>OHF=1.2</t>
  </si>
  <si>
    <t>Contract Employee</t>
  </si>
  <si>
    <t>Outside Agency</t>
  </si>
  <si>
    <t>PROJECT FEES</t>
  </si>
  <si>
    <t>Included in Fees/Payble by client extra</t>
  </si>
  <si>
    <t>NJSEI Project Manager</t>
  </si>
  <si>
    <t>CSM</t>
  </si>
  <si>
    <t>SPM</t>
  </si>
  <si>
    <t>Regional Head</t>
  </si>
  <si>
    <t>To be used in Future</t>
  </si>
  <si>
    <t>2.0 ESTIMATED EXPENSES</t>
  </si>
  <si>
    <t>Survey works</t>
  </si>
  <si>
    <t>Sonali Katre</t>
  </si>
  <si>
    <t>Sector</t>
  </si>
  <si>
    <t>Office</t>
  </si>
  <si>
    <t>Client</t>
  </si>
  <si>
    <t>Region</t>
  </si>
  <si>
    <t>Estimated Project Cost</t>
  </si>
  <si>
    <t>Type of Client</t>
  </si>
  <si>
    <t>Project Title</t>
  </si>
  <si>
    <t>Project No.</t>
  </si>
  <si>
    <t>Type of Job</t>
  </si>
  <si>
    <t>PM</t>
  </si>
  <si>
    <t>Start Date</t>
  </si>
  <si>
    <t>End Date</t>
  </si>
  <si>
    <t>Period</t>
  </si>
  <si>
    <t xml:space="preserve">Fee Type </t>
  </si>
  <si>
    <t>(Lumpsum/Item Rate)</t>
  </si>
  <si>
    <t>Project Detail</t>
  </si>
  <si>
    <t>Service Tax (as Applicable)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</si>
</sst>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 #,##0.00_-;_-* &quot;-&quot;??_-;_-@_-"/>
    <numFmt numFmtId="165" formatCode="_(* #,##0_);_(* \(#,##0\);_(* &quot;-&quot;??_);_(@_)"/>
    <numFmt numFmtId="166" formatCode="0.0"/>
    <numFmt numFmtId="169" formatCode="_-* #,##0_-;\-* #,##0_-;_-* &quot;-&quot;??_-;_-@_-"/>
  </numFmts>
  <fonts count="16">
    <font>
      <sz val="10"/>
      <name val="Arial"/>
    </font>
    <font>
      <sz val="10"/>
      <name val="Arial"/>
      <family val="2"/>
    </font>
    <font>
      <sz val="10"/>
      <name val="Times New Roman"/>
      <family val="1"/>
    </font>
    <font>
      <b/>
      <sz val="10"/>
      <name val="Times New Roman"/>
      <family val="1"/>
    </font>
    <font>
      <b/>
      <i/>
      <sz val="11"/>
      <name val="Times New Roman"/>
      <family val="1"/>
    </font>
    <font>
      <b/>
      <i/>
      <sz val="10"/>
      <name val="Times New Roman"/>
      <family val="1"/>
    </font>
    <font>
      <u/>
      <sz val="10"/>
      <name val="Times New Roman"/>
      <family val="1"/>
    </font>
    <font>
      <sz val="8"/>
      <name val="Arial"/>
      <family val="2"/>
    </font>
    <font>
      <sz val="8"/>
      <color indexed="81"/>
      <name val="Tahoma"/>
      <family val="2"/>
    </font>
    <font>
      <i/>
      <sz val="10"/>
      <name val="Times New Roman"/>
      <family val="1"/>
    </font>
    <font>
      <u/>
      <sz val="10"/>
      <color theme="10"/>
      <name val="Arial"/>
      <family val="2"/>
    </font>
    <font>
      <sz val="11"/>
      <color theme="1"/>
      <name val="Times New Roman"/>
      <family val="1"/>
    </font>
    <font>
      <sz val="16"/>
      <color theme="1"/>
      <name val="Times New Roman"/>
      <family val="1"/>
    </font>
    <font>
      <b/>
      <sz val="16"/>
      <color theme="1"/>
      <name val="Times New Roman"/>
      <family val="1"/>
    </font>
    <font>
      <sz val="10"/>
      <color theme="1"/>
      <name val="Times New Roman"/>
      <family val="1"/>
    </font>
    <font>
      <sz val="10"/>
      <name val="Geneva"/>
    </font>
  </fonts>
  <fills count="4">
    <fill>
      <patternFill patternType="none"/>
    </fill>
    <fill>
      <patternFill patternType="gray125"/>
    </fill>
    <fill>
      <patternFill patternType="solid">
        <fgColor indexed="44"/>
        <bgColor indexed="64"/>
      </patternFill>
    </fill>
    <fill>
      <patternFill patternType="solid">
        <fgColor theme="9" tint="0.79998168889431442"/>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164" fontId="1" fillId="0" borderId="0" applyFont="0" applyFill="0" applyBorder="0" applyAlignment="0" applyProtection="0"/>
    <xf numFmtId="0" fontId="10" fillId="0" borderId="0" applyNumberFormat="0" applyFill="0" applyBorder="0" applyAlignment="0" applyProtection="0">
      <alignment vertical="top"/>
      <protection locked="0"/>
    </xf>
    <xf numFmtId="9" fontId="1" fillId="0" borderId="0" applyFont="0" applyFill="0" applyBorder="0" applyAlignment="0" applyProtection="0"/>
    <xf numFmtId="0" fontId="15" fillId="0" borderId="0"/>
  </cellStyleXfs>
  <cellXfs count="91">
    <xf numFmtId="0" fontId="0" fillId="0" borderId="0" xfId="0"/>
    <xf numFmtId="0" fontId="2" fillId="0" borderId="0" xfId="0" applyFont="1" applyAlignment="1">
      <alignment vertical="center"/>
    </xf>
    <xf numFmtId="0" fontId="5" fillId="0" borderId="0" xfId="0" applyFont="1" applyAlignment="1">
      <alignment vertical="center"/>
    </xf>
    <xf numFmtId="0" fontId="2" fillId="0" borderId="1" xfId="0" applyFont="1" applyBorder="1" applyAlignment="1">
      <alignment vertical="center"/>
    </xf>
    <xf numFmtId="0" fontId="2" fillId="0" borderId="0" xfId="0" applyFont="1" applyBorder="1" applyAlignment="1">
      <alignment vertical="center"/>
    </xf>
    <xf numFmtId="0" fontId="3" fillId="0" borderId="0" xfId="0" applyFont="1" applyAlignment="1">
      <alignment vertical="center"/>
    </xf>
    <xf numFmtId="0" fontId="2" fillId="0" borderId="0" xfId="0" applyFont="1" applyBorder="1" applyAlignment="1">
      <alignment vertical="center" wrapText="1"/>
    </xf>
    <xf numFmtId="0" fontId="2" fillId="0" borderId="2" xfId="0" applyFont="1" applyBorder="1" applyAlignment="1">
      <alignment vertical="center"/>
    </xf>
    <xf numFmtId="0" fontId="11" fillId="0" borderId="0" xfId="0" applyFont="1" applyFill="1" applyBorder="1" applyAlignment="1">
      <alignment horizontal="center" vertical="top" wrapText="1"/>
    </xf>
    <xf numFmtId="0" fontId="11" fillId="0" borderId="0" xfId="0" applyFont="1" applyFill="1" applyBorder="1" applyAlignment="1">
      <alignment vertical="top" wrapText="1"/>
    </xf>
    <xf numFmtId="0" fontId="12" fillId="0" borderId="3" xfId="0" applyFont="1" applyFill="1" applyBorder="1" applyAlignment="1">
      <alignment horizontal="center" vertical="center" wrapText="1"/>
    </xf>
    <xf numFmtId="0" fontId="12" fillId="0" borderId="3" xfId="0" applyFont="1" applyFill="1" applyBorder="1" applyAlignment="1">
      <alignment vertical="center" wrapText="1"/>
    </xf>
    <xf numFmtId="1" fontId="2" fillId="3" borderId="3" xfId="0" applyNumberFormat="1" applyFont="1" applyFill="1" applyBorder="1" applyAlignment="1">
      <alignment vertical="center" wrapText="1"/>
    </xf>
    <xf numFmtId="0" fontId="2" fillId="2" borderId="3" xfId="0" applyFont="1" applyFill="1" applyBorder="1" applyAlignment="1" applyProtection="1">
      <alignment horizontal="center" vertical="center" wrapText="1"/>
    </xf>
    <xf numFmtId="0" fontId="14" fillId="3" borderId="3" xfId="0" applyFont="1" applyFill="1" applyBorder="1" applyAlignment="1">
      <alignment vertical="center" wrapText="1"/>
    </xf>
    <xf numFmtId="0" fontId="2" fillId="3" borderId="3" xfId="0" applyFont="1" applyFill="1" applyBorder="1" applyAlignment="1" applyProtection="1">
      <alignment vertical="center" wrapText="1"/>
    </xf>
    <xf numFmtId="0" fontId="2" fillId="3" borderId="3" xfId="0" applyFont="1" applyFill="1" applyBorder="1" applyAlignment="1">
      <alignment vertical="center" wrapText="1"/>
    </xf>
    <xf numFmtId="0" fontId="15" fillId="0" borderId="0" xfId="4" applyFont="1" applyBorder="1"/>
    <xf numFmtId="0" fontId="14" fillId="3" borderId="3" xfId="0" applyFont="1" applyFill="1" applyBorder="1" applyAlignment="1">
      <alignment vertical="top" wrapText="1"/>
    </xf>
    <xf numFmtId="0" fontId="2" fillId="2" borderId="4" xfId="0" applyFont="1" applyFill="1" applyBorder="1" applyAlignment="1" applyProtection="1">
      <alignment horizontal="center" vertical="center" wrapText="1"/>
    </xf>
    <xf numFmtId="0" fontId="2" fillId="3" borderId="3" xfId="0" applyFont="1" applyFill="1" applyBorder="1" applyAlignment="1" applyProtection="1">
      <alignment horizontal="center" vertical="center" wrapText="1"/>
    </xf>
    <xf numFmtId="0" fontId="2" fillId="2" borderId="6" xfId="0" applyFont="1" applyFill="1" applyBorder="1" applyAlignment="1" applyProtection="1">
      <alignment vertical="center" wrapText="1"/>
    </xf>
    <xf numFmtId="0" fontId="1" fillId="0" borderId="0" xfId="0" applyFont="1"/>
    <xf numFmtId="0" fontId="5" fillId="0" borderId="3" xfId="0" applyFont="1" applyBorder="1" applyAlignment="1">
      <alignment horizontal="center" vertical="center" wrapText="1"/>
    </xf>
    <xf numFmtId="0" fontId="2" fillId="0" borderId="3" xfId="0" applyFont="1" applyBorder="1" applyAlignment="1">
      <alignment horizontal="centerContinuous"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vertical="center"/>
    </xf>
    <xf numFmtId="0" fontId="0" fillId="0" borderId="3" xfId="0" applyBorder="1"/>
    <xf numFmtId="0" fontId="2" fillId="0" borderId="3" xfId="0" applyFont="1" applyBorder="1" applyAlignment="1">
      <alignment horizontal="right" vertical="center" wrapText="1"/>
    </xf>
    <xf numFmtId="0" fontId="3" fillId="0" borderId="3" xfId="0" applyFont="1" applyBorder="1" applyAlignment="1">
      <alignment horizontal="center" vertical="center" wrapText="1"/>
    </xf>
    <xf numFmtId="0" fontId="2" fillId="3" borderId="6" xfId="0" applyFont="1" applyFill="1" applyBorder="1" applyAlignment="1">
      <alignment vertical="center" wrapText="1"/>
    </xf>
    <xf numFmtId="0" fontId="2" fillId="2" borderId="6" xfId="0" applyFont="1" applyFill="1" applyBorder="1" applyAlignment="1" applyProtection="1">
      <alignment horizontal="center" vertical="center" wrapText="1"/>
    </xf>
    <xf numFmtId="0" fontId="14" fillId="3" borderId="6" xfId="0" applyFont="1" applyFill="1" applyBorder="1" applyAlignment="1">
      <alignment vertical="center" wrapText="1"/>
    </xf>
    <xf numFmtId="0" fontId="2" fillId="3" borderId="6" xfId="0" applyFont="1" applyFill="1" applyBorder="1" applyAlignment="1" applyProtection="1">
      <alignment horizontal="center" vertical="center" wrapText="1"/>
    </xf>
    <xf numFmtId="0" fontId="2" fillId="3" borderId="6" xfId="0" applyFont="1" applyFill="1" applyBorder="1" applyAlignment="1" applyProtection="1">
      <alignment vertical="center" wrapText="1"/>
    </xf>
    <xf numFmtId="0" fontId="2" fillId="2" borderId="3" xfId="0" applyFont="1" applyFill="1" applyBorder="1" applyAlignment="1" applyProtection="1">
      <alignment vertical="center" wrapText="1"/>
    </xf>
    <xf numFmtId="166" fontId="3" fillId="0" borderId="3" xfId="0" applyNumberFormat="1" applyFont="1" applyBorder="1" applyAlignment="1">
      <alignment horizontal="center" vertical="center" wrapText="1"/>
    </xf>
    <xf numFmtId="165" fontId="2" fillId="0" borderId="3" xfId="1" applyNumberFormat="1" applyFont="1" applyBorder="1" applyAlignment="1">
      <alignment horizontal="right" vertical="center" wrapText="1"/>
    </xf>
    <xf numFmtId="0" fontId="9" fillId="0" borderId="3" xfId="0" applyFont="1" applyBorder="1" applyAlignment="1">
      <alignment vertical="center" wrapText="1"/>
    </xf>
    <xf numFmtId="0" fontId="2" fillId="0" borderId="3" xfId="0" applyFont="1" applyBorder="1" applyAlignment="1">
      <alignment horizontal="left" vertical="center" wrapText="1"/>
    </xf>
    <xf numFmtId="165" fontId="3" fillId="0" borderId="3" xfId="1" applyNumberFormat="1" applyFont="1" applyBorder="1" applyAlignment="1">
      <alignment horizontal="right" vertical="center" wrapText="1"/>
    </xf>
    <xf numFmtId="0" fontId="5" fillId="0" borderId="3" xfId="0" applyFont="1" applyFill="1" applyBorder="1" applyAlignment="1">
      <alignment horizontal="center" vertical="center" wrapText="1"/>
    </xf>
    <xf numFmtId="0" fontId="0" fillId="0" borderId="0" xfId="0" applyBorder="1"/>
    <xf numFmtId="169" fontId="3" fillId="2" borderId="3" xfId="1" applyNumberFormat="1" applyFont="1" applyFill="1" applyBorder="1" applyAlignment="1" applyProtection="1">
      <alignment horizontal="lef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2" xfId="0" applyFont="1" applyBorder="1" applyAlignment="1">
      <alignment vertical="center" wrapText="1"/>
    </xf>
    <xf numFmtId="0" fontId="6" fillId="0" borderId="1" xfId="0" applyFont="1" applyBorder="1" applyAlignment="1">
      <alignment vertical="center" wrapText="1"/>
    </xf>
    <xf numFmtId="0" fontId="10" fillId="0" borderId="2" xfId="2" applyBorder="1" applyAlignment="1" applyProtection="1">
      <alignment vertical="center" wrapText="1"/>
    </xf>
    <xf numFmtId="49" fontId="2" fillId="0" borderId="1" xfId="0" applyNumberFormat="1" applyFont="1" applyBorder="1" applyAlignment="1">
      <alignment vertical="center" wrapText="1"/>
    </xf>
    <xf numFmtId="0" fontId="2" fillId="2" borderId="6" xfId="0" applyFont="1" applyFill="1" applyBorder="1" applyAlignment="1" applyProtection="1">
      <alignment horizontal="center" vertical="center" wrapText="1"/>
    </xf>
    <xf numFmtId="0" fontId="3" fillId="2" borderId="3" xfId="0" applyFont="1" applyFill="1" applyBorder="1" applyAlignment="1" applyProtection="1">
      <alignment horizontal="center" vertical="top" wrapText="1"/>
    </xf>
    <xf numFmtId="0" fontId="2" fillId="3" borderId="4"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2" borderId="3" xfId="0" applyFont="1" applyFill="1" applyBorder="1" applyAlignment="1" applyProtection="1">
      <alignment horizontal="center" vertical="center" wrapText="1"/>
    </xf>
    <xf numFmtId="0" fontId="3" fillId="2" borderId="3" xfId="0" applyFont="1" applyFill="1" applyBorder="1" applyAlignment="1" applyProtection="1">
      <alignment horizontal="center" vertical="center" wrapText="1"/>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2" xfId="0" applyFont="1" applyBorder="1" applyAlignment="1">
      <alignment horizontal="center" vertical="center"/>
    </xf>
    <xf numFmtId="0" fontId="13" fillId="0" borderId="4"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5" xfId="0" applyFont="1" applyFill="1" applyBorder="1" applyAlignment="1">
      <alignment horizontal="center" vertical="center"/>
    </xf>
    <xf numFmtId="0" fontId="3" fillId="2" borderId="4" xfId="0" applyFont="1" applyFill="1" applyBorder="1" applyAlignment="1" applyProtection="1">
      <alignment horizontal="center" vertical="top" wrapText="1"/>
    </xf>
    <xf numFmtId="0" fontId="3" fillId="2" borderId="5" xfId="0" applyFont="1" applyFill="1" applyBorder="1" applyAlignment="1" applyProtection="1">
      <alignment horizontal="center" vertical="top" wrapText="1"/>
    </xf>
    <xf numFmtId="0" fontId="2" fillId="0" borderId="0" xfId="0" applyFont="1" applyBorder="1" applyAlignment="1">
      <alignment vertical="center" wrapText="1"/>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0" borderId="5"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left" vertical="center"/>
    </xf>
    <xf numFmtId="0" fontId="2" fillId="0" borderId="5"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5" xfId="0" applyFont="1" applyBorder="1" applyAlignment="1">
      <alignment horizontal="left" vertical="center"/>
    </xf>
    <xf numFmtId="0" fontId="2" fillId="0" borderId="3" xfId="0" applyFont="1" applyBorder="1" applyAlignment="1">
      <alignment horizontal="center" vertical="center" wrapText="1"/>
    </xf>
    <xf numFmtId="10" fontId="3" fillId="0" borderId="3" xfId="3"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left" vertical="center"/>
    </xf>
    <xf numFmtId="0" fontId="0" fillId="0" borderId="4" xfId="0" applyBorder="1" applyAlignment="1">
      <alignment horizontal="center"/>
    </xf>
    <xf numFmtId="0" fontId="0" fillId="0" borderId="5" xfId="0" applyBorder="1" applyAlignment="1">
      <alignment horizontal="center"/>
    </xf>
    <xf numFmtId="165" fontId="2" fillId="0" borderId="4" xfId="1" applyNumberFormat="1" applyFont="1" applyBorder="1" applyAlignment="1">
      <alignment horizontal="center" vertical="center" wrapText="1"/>
    </xf>
    <xf numFmtId="165" fontId="2" fillId="0" borderId="5" xfId="1" applyNumberFormat="1" applyFont="1" applyBorder="1" applyAlignment="1">
      <alignment horizontal="center" vertical="center" wrapText="1"/>
    </xf>
    <xf numFmtId="165" fontId="2" fillId="0" borderId="4" xfId="1" applyNumberFormat="1" applyFont="1" applyBorder="1" applyAlignment="1">
      <alignment horizontal="left" vertical="center" wrapText="1"/>
    </xf>
    <xf numFmtId="165" fontId="2" fillId="0" borderId="2" xfId="1" applyNumberFormat="1" applyFont="1" applyBorder="1" applyAlignment="1">
      <alignment horizontal="left" vertical="center" wrapText="1"/>
    </xf>
    <xf numFmtId="165" fontId="2" fillId="0" borderId="5" xfId="1" applyNumberFormat="1" applyFont="1" applyBorder="1" applyAlignment="1">
      <alignment horizontal="left" vertical="center" wrapText="1"/>
    </xf>
  </cellXfs>
  <cellStyles count="5">
    <cellStyle name="Comma" xfId="1" builtinId="3"/>
    <cellStyle name="Hyperlink" xfId="2" builtinId="8"/>
    <cellStyle name="Normal" xfId="0" builtinId="0"/>
    <cellStyle name="Normal 2" xfId="4"/>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5117B6F-0454-483A-8270-87219FD12CCD}" type="doc">
      <dgm:prSet loTypeId="urn:microsoft.com/office/officeart/2005/8/layout/hProcess9" loCatId="process" qsTypeId="urn:microsoft.com/office/officeart/2005/8/quickstyle/simple1" qsCatId="simple" csTypeId="urn:microsoft.com/office/officeart/2005/8/colors/colorful1" csCatId="colorful" phldr="1"/>
      <dgm:spPr/>
    </dgm:pt>
    <dgm:pt modelId="{C16222AF-55AD-4005-8D14-8A5DE590287D}">
      <dgm:prSet phldrT="[Text]"/>
      <dgm:spPr/>
      <dgm:t>
        <a:bodyPr/>
        <a:lstStyle/>
        <a:p>
          <a:r>
            <a:rPr lang="en-US"/>
            <a:t>Prepared by </a:t>
          </a:r>
        </a:p>
        <a:p>
          <a:r>
            <a:rPr lang="en-US"/>
            <a:t>Project Manager</a:t>
          </a:r>
        </a:p>
      </dgm:t>
    </dgm:pt>
    <dgm:pt modelId="{B684A491-144A-4139-B7F6-7A405661056B}" type="parTrans" cxnId="{21D2151C-7151-4347-A806-78D409A6D5EA}">
      <dgm:prSet/>
      <dgm:spPr/>
      <dgm:t>
        <a:bodyPr/>
        <a:lstStyle/>
        <a:p>
          <a:endParaRPr lang="en-US"/>
        </a:p>
      </dgm:t>
    </dgm:pt>
    <dgm:pt modelId="{416B6883-ADA5-43AB-8586-F15AB0CD7181}" type="sibTrans" cxnId="{21D2151C-7151-4347-A806-78D409A6D5EA}">
      <dgm:prSet/>
      <dgm:spPr/>
      <dgm:t>
        <a:bodyPr/>
        <a:lstStyle/>
        <a:p>
          <a:endParaRPr lang="en-US"/>
        </a:p>
      </dgm:t>
    </dgm:pt>
    <dgm:pt modelId="{D8981121-2EC8-4738-BC25-D7E6E9B84EBA}">
      <dgm:prSet phldrT="[Text]"/>
      <dgm:spPr/>
      <dgm:t>
        <a:bodyPr/>
        <a:lstStyle/>
        <a:p>
          <a:r>
            <a:rPr lang="en-US"/>
            <a:t>Reviewed by Senior Project Manager</a:t>
          </a:r>
        </a:p>
      </dgm:t>
    </dgm:pt>
    <dgm:pt modelId="{69399A41-C237-4AAE-A45D-D210ED7C8CFE}" type="parTrans" cxnId="{DC527DBD-0BC0-456F-AD18-049719F71A91}">
      <dgm:prSet/>
      <dgm:spPr/>
      <dgm:t>
        <a:bodyPr/>
        <a:lstStyle/>
        <a:p>
          <a:endParaRPr lang="en-US"/>
        </a:p>
      </dgm:t>
    </dgm:pt>
    <dgm:pt modelId="{C0B7F560-7A57-4C7E-84E6-E41C954783B3}" type="sibTrans" cxnId="{DC527DBD-0BC0-456F-AD18-049719F71A91}">
      <dgm:prSet/>
      <dgm:spPr/>
      <dgm:t>
        <a:bodyPr/>
        <a:lstStyle/>
        <a:p>
          <a:endParaRPr lang="en-US"/>
        </a:p>
      </dgm:t>
    </dgm:pt>
    <dgm:pt modelId="{D32EDEE1-C5E8-42CD-8D80-12EF2D45B0E7}">
      <dgm:prSet phldrT="[Text]"/>
      <dgm:spPr/>
      <dgm:t>
        <a:bodyPr/>
        <a:lstStyle/>
        <a:p>
          <a:r>
            <a:rPr lang="en-US"/>
            <a:t>Approved by Regional Manager</a:t>
          </a:r>
        </a:p>
      </dgm:t>
    </dgm:pt>
    <dgm:pt modelId="{B5BD397B-8529-4E16-9E69-859827CFDD90}" type="parTrans" cxnId="{9F8D8027-E002-4710-8C87-822F48BA8E77}">
      <dgm:prSet/>
      <dgm:spPr/>
      <dgm:t>
        <a:bodyPr/>
        <a:lstStyle/>
        <a:p>
          <a:endParaRPr lang="en-US"/>
        </a:p>
      </dgm:t>
    </dgm:pt>
    <dgm:pt modelId="{5D521665-C70C-4A0B-94A3-F762A27657EA}" type="sibTrans" cxnId="{9F8D8027-E002-4710-8C87-822F48BA8E77}">
      <dgm:prSet/>
      <dgm:spPr/>
      <dgm:t>
        <a:bodyPr/>
        <a:lstStyle/>
        <a:p>
          <a:endParaRPr lang="en-US"/>
        </a:p>
      </dgm:t>
    </dgm:pt>
    <dgm:pt modelId="{0E49CC58-6C11-4916-B574-8A98066F32DC}">
      <dgm:prSet/>
      <dgm:spPr/>
      <dgm:t>
        <a:bodyPr/>
        <a:lstStyle/>
        <a:p>
          <a:r>
            <a:rPr lang="en-US"/>
            <a:t>For Infomation </a:t>
          </a:r>
        </a:p>
        <a:p>
          <a:r>
            <a:rPr lang="en-US"/>
            <a:t>Accounts</a:t>
          </a:r>
        </a:p>
      </dgm:t>
    </dgm:pt>
    <dgm:pt modelId="{BBC3A73D-BBBB-4F40-89C2-BADAA66C3598}" type="parTrans" cxnId="{86F1836A-4EFA-4300-A8E7-8EBB2F92B880}">
      <dgm:prSet/>
      <dgm:spPr/>
      <dgm:t>
        <a:bodyPr/>
        <a:lstStyle/>
        <a:p>
          <a:endParaRPr lang="en-US"/>
        </a:p>
      </dgm:t>
    </dgm:pt>
    <dgm:pt modelId="{07FD3749-B5BC-4EAE-8044-48DC2BA46937}" type="sibTrans" cxnId="{86F1836A-4EFA-4300-A8E7-8EBB2F92B880}">
      <dgm:prSet/>
      <dgm:spPr/>
      <dgm:t>
        <a:bodyPr/>
        <a:lstStyle/>
        <a:p>
          <a:endParaRPr lang="en-US"/>
        </a:p>
      </dgm:t>
    </dgm:pt>
    <dgm:pt modelId="{D0124B4F-6925-499B-8669-E8A0E960FD76}" type="pres">
      <dgm:prSet presAssocID="{45117B6F-0454-483A-8270-87219FD12CCD}" presName="CompostProcess" presStyleCnt="0">
        <dgm:presLayoutVars>
          <dgm:dir/>
          <dgm:resizeHandles val="exact"/>
        </dgm:presLayoutVars>
      </dgm:prSet>
      <dgm:spPr/>
    </dgm:pt>
    <dgm:pt modelId="{3C2B48F8-F2E3-4872-BD61-829884CBC46F}" type="pres">
      <dgm:prSet presAssocID="{45117B6F-0454-483A-8270-87219FD12CCD}" presName="arrow" presStyleLbl="bgShp" presStyleIdx="0" presStyleCnt="1"/>
      <dgm:spPr/>
    </dgm:pt>
    <dgm:pt modelId="{51B9C38D-7CE0-4853-BFB2-B6FAFF3EC1E6}" type="pres">
      <dgm:prSet presAssocID="{45117B6F-0454-483A-8270-87219FD12CCD}" presName="linearProcess" presStyleCnt="0"/>
      <dgm:spPr/>
    </dgm:pt>
    <dgm:pt modelId="{34DE89F3-2A32-44BE-88BE-155A93CC7EAA}" type="pres">
      <dgm:prSet presAssocID="{C16222AF-55AD-4005-8D14-8A5DE590287D}" presName="textNode" presStyleLbl="node1" presStyleIdx="0" presStyleCnt="4">
        <dgm:presLayoutVars>
          <dgm:bulletEnabled val="1"/>
        </dgm:presLayoutVars>
      </dgm:prSet>
      <dgm:spPr/>
      <dgm:t>
        <a:bodyPr/>
        <a:lstStyle/>
        <a:p>
          <a:endParaRPr lang="en-US"/>
        </a:p>
      </dgm:t>
    </dgm:pt>
    <dgm:pt modelId="{416F7129-1ACB-4D1A-A021-E9F187439DE0}" type="pres">
      <dgm:prSet presAssocID="{416B6883-ADA5-43AB-8586-F15AB0CD7181}" presName="sibTrans" presStyleCnt="0"/>
      <dgm:spPr/>
    </dgm:pt>
    <dgm:pt modelId="{456D1756-6610-416D-B45A-F7B4BCDCE86F}" type="pres">
      <dgm:prSet presAssocID="{D8981121-2EC8-4738-BC25-D7E6E9B84EBA}" presName="textNode" presStyleLbl="node1" presStyleIdx="1" presStyleCnt="4">
        <dgm:presLayoutVars>
          <dgm:bulletEnabled val="1"/>
        </dgm:presLayoutVars>
      </dgm:prSet>
      <dgm:spPr/>
      <dgm:t>
        <a:bodyPr/>
        <a:lstStyle/>
        <a:p>
          <a:endParaRPr lang="en-US"/>
        </a:p>
      </dgm:t>
    </dgm:pt>
    <dgm:pt modelId="{AFA158F1-9662-47B8-81C5-FD2EDDD65C00}" type="pres">
      <dgm:prSet presAssocID="{C0B7F560-7A57-4C7E-84E6-E41C954783B3}" presName="sibTrans" presStyleCnt="0"/>
      <dgm:spPr/>
    </dgm:pt>
    <dgm:pt modelId="{362869F1-4227-47ED-87BD-D120ECA47682}" type="pres">
      <dgm:prSet presAssocID="{D32EDEE1-C5E8-42CD-8D80-12EF2D45B0E7}" presName="textNode" presStyleLbl="node1" presStyleIdx="2" presStyleCnt="4">
        <dgm:presLayoutVars>
          <dgm:bulletEnabled val="1"/>
        </dgm:presLayoutVars>
      </dgm:prSet>
      <dgm:spPr/>
      <dgm:t>
        <a:bodyPr/>
        <a:lstStyle/>
        <a:p>
          <a:endParaRPr lang="en-US"/>
        </a:p>
      </dgm:t>
    </dgm:pt>
    <dgm:pt modelId="{E17DC589-950F-4717-BE45-497667824476}" type="pres">
      <dgm:prSet presAssocID="{5D521665-C70C-4A0B-94A3-F762A27657EA}" presName="sibTrans" presStyleCnt="0"/>
      <dgm:spPr/>
    </dgm:pt>
    <dgm:pt modelId="{B613D4B1-9170-4359-B729-4DE805B607DC}" type="pres">
      <dgm:prSet presAssocID="{0E49CC58-6C11-4916-B574-8A98066F32DC}" presName="textNode" presStyleLbl="node1" presStyleIdx="3" presStyleCnt="4">
        <dgm:presLayoutVars>
          <dgm:bulletEnabled val="1"/>
        </dgm:presLayoutVars>
      </dgm:prSet>
      <dgm:spPr/>
      <dgm:t>
        <a:bodyPr/>
        <a:lstStyle/>
        <a:p>
          <a:endParaRPr lang="en-US"/>
        </a:p>
      </dgm:t>
    </dgm:pt>
  </dgm:ptLst>
  <dgm:cxnLst>
    <dgm:cxn modelId="{21D2151C-7151-4347-A806-78D409A6D5EA}" srcId="{45117B6F-0454-483A-8270-87219FD12CCD}" destId="{C16222AF-55AD-4005-8D14-8A5DE590287D}" srcOrd="0" destOrd="0" parTransId="{B684A491-144A-4139-B7F6-7A405661056B}" sibTransId="{416B6883-ADA5-43AB-8586-F15AB0CD7181}"/>
    <dgm:cxn modelId="{81C6C755-C277-45B7-9E39-4E0230AE08E8}" type="presOf" srcId="{D8981121-2EC8-4738-BC25-D7E6E9B84EBA}" destId="{456D1756-6610-416D-B45A-F7B4BCDCE86F}" srcOrd="0" destOrd="0" presId="urn:microsoft.com/office/officeart/2005/8/layout/hProcess9"/>
    <dgm:cxn modelId="{DC527DBD-0BC0-456F-AD18-049719F71A91}" srcId="{45117B6F-0454-483A-8270-87219FD12CCD}" destId="{D8981121-2EC8-4738-BC25-D7E6E9B84EBA}" srcOrd="1" destOrd="0" parTransId="{69399A41-C237-4AAE-A45D-D210ED7C8CFE}" sibTransId="{C0B7F560-7A57-4C7E-84E6-E41C954783B3}"/>
    <dgm:cxn modelId="{9F8D8027-E002-4710-8C87-822F48BA8E77}" srcId="{45117B6F-0454-483A-8270-87219FD12CCD}" destId="{D32EDEE1-C5E8-42CD-8D80-12EF2D45B0E7}" srcOrd="2" destOrd="0" parTransId="{B5BD397B-8529-4E16-9E69-859827CFDD90}" sibTransId="{5D521665-C70C-4A0B-94A3-F762A27657EA}"/>
    <dgm:cxn modelId="{231310AF-B3FA-41BB-8712-1779E062C382}" type="presOf" srcId="{D32EDEE1-C5E8-42CD-8D80-12EF2D45B0E7}" destId="{362869F1-4227-47ED-87BD-D120ECA47682}" srcOrd="0" destOrd="0" presId="urn:microsoft.com/office/officeart/2005/8/layout/hProcess9"/>
    <dgm:cxn modelId="{5EBE79B1-FA22-460F-A039-14FAA8834806}" type="presOf" srcId="{0E49CC58-6C11-4916-B574-8A98066F32DC}" destId="{B613D4B1-9170-4359-B729-4DE805B607DC}" srcOrd="0" destOrd="0" presId="urn:microsoft.com/office/officeart/2005/8/layout/hProcess9"/>
    <dgm:cxn modelId="{1D46E7EB-D072-4B2C-A1AD-2AEC79D4A2BD}" type="presOf" srcId="{45117B6F-0454-483A-8270-87219FD12CCD}" destId="{D0124B4F-6925-499B-8669-E8A0E960FD76}" srcOrd="0" destOrd="0" presId="urn:microsoft.com/office/officeart/2005/8/layout/hProcess9"/>
    <dgm:cxn modelId="{DDBF8566-2B77-4832-8DD3-021CAAC31CDB}" type="presOf" srcId="{C16222AF-55AD-4005-8D14-8A5DE590287D}" destId="{34DE89F3-2A32-44BE-88BE-155A93CC7EAA}" srcOrd="0" destOrd="0" presId="urn:microsoft.com/office/officeart/2005/8/layout/hProcess9"/>
    <dgm:cxn modelId="{86F1836A-4EFA-4300-A8E7-8EBB2F92B880}" srcId="{45117B6F-0454-483A-8270-87219FD12CCD}" destId="{0E49CC58-6C11-4916-B574-8A98066F32DC}" srcOrd="3" destOrd="0" parTransId="{BBC3A73D-BBBB-4F40-89C2-BADAA66C3598}" sibTransId="{07FD3749-B5BC-4EAE-8044-48DC2BA46937}"/>
    <dgm:cxn modelId="{5DDEC221-8D59-4029-B524-49B5266071AC}" type="presParOf" srcId="{D0124B4F-6925-499B-8669-E8A0E960FD76}" destId="{3C2B48F8-F2E3-4872-BD61-829884CBC46F}" srcOrd="0" destOrd="0" presId="urn:microsoft.com/office/officeart/2005/8/layout/hProcess9"/>
    <dgm:cxn modelId="{B1AB2155-A76A-4F9E-894E-3C28A3239615}" type="presParOf" srcId="{D0124B4F-6925-499B-8669-E8A0E960FD76}" destId="{51B9C38D-7CE0-4853-BFB2-B6FAFF3EC1E6}" srcOrd="1" destOrd="0" presId="urn:microsoft.com/office/officeart/2005/8/layout/hProcess9"/>
    <dgm:cxn modelId="{46489511-AE4E-4CA3-9FB5-BD4581F0ACCA}" type="presParOf" srcId="{51B9C38D-7CE0-4853-BFB2-B6FAFF3EC1E6}" destId="{34DE89F3-2A32-44BE-88BE-155A93CC7EAA}" srcOrd="0" destOrd="0" presId="urn:microsoft.com/office/officeart/2005/8/layout/hProcess9"/>
    <dgm:cxn modelId="{B57EDEB4-3861-4245-B25A-F7E7F5C1210B}" type="presParOf" srcId="{51B9C38D-7CE0-4853-BFB2-B6FAFF3EC1E6}" destId="{416F7129-1ACB-4D1A-A021-E9F187439DE0}" srcOrd="1" destOrd="0" presId="urn:microsoft.com/office/officeart/2005/8/layout/hProcess9"/>
    <dgm:cxn modelId="{5E33CED6-FFC9-4908-A5DF-6C4D606A9550}" type="presParOf" srcId="{51B9C38D-7CE0-4853-BFB2-B6FAFF3EC1E6}" destId="{456D1756-6610-416D-B45A-F7B4BCDCE86F}" srcOrd="2" destOrd="0" presId="urn:microsoft.com/office/officeart/2005/8/layout/hProcess9"/>
    <dgm:cxn modelId="{E8A1BEC2-7C12-47F2-AB6E-0DE289AAECF1}" type="presParOf" srcId="{51B9C38D-7CE0-4853-BFB2-B6FAFF3EC1E6}" destId="{AFA158F1-9662-47B8-81C5-FD2EDDD65C00}" srcOrd="3" destOrd="0" presId="urn:microsoft.com/office/officeart/2005/8/layout/hProcess9"/>
    <dgm:cxn modelId="{9611336E-60A3-46E8-80F2-01AA1286A2EA}" type="presParOf" srcId="{51B9C38D-7CE0-4853-BFB2-B6FAFF3EC1E6}" destId="{362869F1-4227-47ED-87BD-D120ECA47682}" srcOrd="4" destOrd="0" presId="urn:microsoft.com/office/officeart/2005/8/layout/hProcess9"/>
    <dgm:cxn modelId="{103AACCB-9FB3-47B1-8316-7044DB454B83}" type="presParOf" srcId="{51B9C38D-7CE0-4853-BFB2-B6FAFF3EC1E6}" destId="{E17DC589-950F-4717-BE45-497667824476}" srcOrd="5" destOrd="0" presId="urn:microsoft.com/office/officeart/2005/8/layout/hProcess9"/>
    <dgm:cxn modelId="{E2B8F017-FDEC-4423-A94E-08F4C2653E69}" type="presParOf" srcId="{51B9C38D-7CE0-4853-BFB2-B6FAFF3EC1E6}" destId="{B613D4B1-9170-4359-B729-4DE805B607DC}" srcOrd="6" destOrd="0" presId="urn:microsoft.com/office/officeart/2005/8/layout/hProcess9"/>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1CAA67D7-5516-4C7C-95AF-5C2350B5D575}" type="doc">
      <dgm:prSet loTypeId="urn:microsoft.com/office/officeart/2005/8/layout/matrix3" loCatId="matrix" qsTypeId="urn:microsoft.com/office/officeart/2005/8/quickstyle/simple3" qsCatId="simple" csTypeId="urn:microsoft.com/office/officeart/2005/8/colors/colorful5" csCatId="colorful" phldr="1"/>
      <dgm:spPr/>
      <dgm:t>
        <a:bodyPr/>
        <a:lstStyle/>
        <a:p>
          <a:endParaRPr lang="en-US"/>
        </a:p>
      </dgm:t>
    </dgm:pt>
    <dgm:pt modelId="{6E13860F-2A93-4AE7-991F-260BBB78101A}">
      <dgm:prSet phldrT="[Text]"/>
      <dgm:spPr/>
      <dgm:t>
        <a:bodyPr/>
        <a:lstStyle/>
        <a:p>
          <a:r>
            <a:rPr lang="en-US"/>
            <a:t>NJSEI</a:t>
          </a:r>
        </a:p>
      </dgm:t>
    </dgm:pt>
    <dgm:pt modelId="{AC95D02D-8204-4790-A659-E0867E52CADB}" type="parTrans" cxnId="{8893189D-B4BF-43A6-8B66-57E9C057D4F7}">
      <dgm:prSet/>
      <dgm:spPr/>
      <dgm:t>
        <a:bodyPr/>
        <a:lstStyle/>
        <a:p>
          <a:endParaRPr lang="en-US"/>
        </a:p>
      </dgm:t>
    </dgm:pt>
    <dgm:pt modelId="{C8C5C2E3-71F1-4DDA-95CA-67844634AB3A}" type="sibTrans" cxnId="{8893189D-B4BF-43A6-8B66-57E9C057D4F7}">
      <dgm:prSet/>
      <dgm:spPr/>
      <dgm:t>
        <a:bodyPr/>
        <a:lstStyle/>
        <a:p>
          <a:endParaRPr lang="en-US"/>
        </a:p>
      </dgm:t>
    </dgm:pt>
    <dgm:pt modelId="{4B24D2D4-EDD2-4169-BC54-365CF87D8518}">
      <dgm:prSet phldrT="[Text]"/>
      <dgm:spPr/>
      <dgm:t>
        <a:bodyPr/>
        <a:lstStyle/>
        <a:p>
          <a:r>
            <a:rPr lang="en-US"/>
            <a:t>QMS</a:t>
          </a:r>
        </a:p>
      </dgm:t>
    </dgm:pt>
    <dgm:pt modelId="{CC66BB30-61FF-4C75-93CF-3CC49B947362}" type="parTrans" cxnId="{DB104596-2287-4CB0-9378-499509842619}">
      <dgm:prSet/>
      <dgm:spPr/>
      <dgm:t>
        <a:bodyPr/>
        <a:lstStyle/>
        <a:p>
          <a:endParaRPr lang="en-US"/>
        </a:p>
      </dgm:t>
    </dgm:pt>
    <dgm:pt modelId="{05BCFC77-1935-4C09-B33F-4CE81F32C64A}" type="sibTrans" cxnId="{DB104596-2287-4CB0-9378-499509842619}">
      <dgm:prSet/>
      <dgm:spPr/>
      <dgm:t>
        <a:bodyPr/>
        <a:lstStyle/>
        <a:p>
          <a:endParaRPr lang="en-US"/>
        </a:p>
      </dgm:t>
    </dgm:pt>
    <dgm:pt modelId="{B0BF3C58-3C7A-4454-B1AD-94CF8355F55A}">
      <dgm:prSet phldrT="[Text]"/>
      <dgm:spPr/>
      <dgm:t>
        <a:bodyPr/>
        <a:lstStyle/>
        <a:p>
          <a:r>
            <a:rPr lang="en-IN"/>
            <a:t>PMD1</a:t>
          </a:r>
          <a:endParaRPr lang="en-US"/>
        </a:p>
      </dgm:t>
    </dgm:pt>
    <dgm:pt modelId="{EA800FD2-782C-41EF-A848-A58C418769BA}" type="parTrans" cxnId="{491622CB-7810-4694-A92B-EFFF59A01FAD}">
      <dgm:prSet/>
      <dgm:spPr/>
      <dgm:t>
        <a:bodyPr/>
        <a:lstStyle/>
        <a:p>
          <a:endParaRPr lang="en-US"/>
        </a:p>
      </dgm:t>
    </dgm:pt>
    <dgm:pt modelId="{8B3E8D7E-1E24-42D7-9218-1EDE33311EC6}" type="sibTrans" cxnId="{491622CB-7810-4694-A92B-EFFF59A01FAD}">
      <dgm:prSet/>
      <dgm:spPr/>
      <dgm:t>
        <a:bodyPr/>
        <a:lstStyle/>
        <a:p>
          <a:endParaRPr lang="en-US"/>
        </a:p>
      </dgm:t>
    </dgm:pt>
    <dgm:pt modelId="{6B61E0B5-74DF-4541-9FC3-C69BBB7179F9}">
      <dgm:prSet phldrT="[Text]"/>
      <dgm:spPr/>
      <dgm:t>
        <a:bodyPr/>
        <a:lstStyle/>
        <a:p>
          <a:r>
            <a:rPr lang="en-US"/>
            <a:t>Date</a:t>
          </a:r>
        </a:p>
      </dgm:t>
    </dgm:pt>
    <dgm:pt modelId="{8E3324BC-6EBE-4FC3-8B2E-E3BF5EC0EEDD}" type="parTrans" cxnId="{0AA6937A-AA52-47E0-9A01-4620FBE6925B}">
      <dgm:prSet/>
      <dgm:spPr/>
      <dgm:t>
        <a:bodyPr/>
        <a:lstStyle/>
        <a:p>
          <a:endParaRPr lang="en-US"/>
        </a:p>
      </dgm:t>
    </dgm:pt>
    <dgm:pt modelId="{F545E547-6874-43B8-97B4-6119BB37AFB0}" type="sibTrans" cxnId="{0AA6937A-AA52-47E0-9A01-4620FBE6925B}">
      <dgm:prSet/>
      <dgm:spPr/>
      <dgm:t>
        <a:bodyPr/>
        <a:lstStyle/>
        <a:p>
          <a:endParaRPr lang="en-US"/>
        </a:p>
      </dgm:t>
    </dgm:pt>
    <dgm:pt modelId="{CD61FA5C-7699-4561-A896-A0ABABA54C34}" type="pres">
      <dgm:prSet presAssocID="{1CAA67D7-5516-4C7C-95AF-5C2350B5D575}" presName="matrix" presStyleCnt="0">
        <dgm:presLayoutVars>
          <dgm:chMax val="1"/>
          <dgm:dir/>
          <dgm:resizeHandles val="exact"/>
        </dgm:presLayoutVars>
      </dgm:prSet>
      <dgm:spPr/>
      <dgm:t>
        <a:bodyPr/>
        <a:lstStyle/>
        <a:p>
          <a:endParaRPr lang="en-IN"/>
        </a:p>
      </dgm:t>
    </dgm:pt>
    <dgm:pt modelId="{5FB9D7B5-2CD1-417A-9F00-AC51CD884918}" type="pres">
      <dgm:prSet presAssocID="{1CAA67D7-5516-4C7C-95AF-5C2350B5D575}" presName="diamond" presStyleLbl="bgShp" presStyleIdx="0" presStyleCnt="1"/>
      <dgm:spPr/>
    </dgm:pt>
    <dgm:pt modelId="{80376115-9BAC-4F7D-97D2-E9F2A2B8BFBD}" type="pres">
      <dgm:prSet presAssocID="{1CAA67D7-5516-4C7C-95AF-5C2350B5D575}" presName="quad1" presStyleLbl="node1" presStyleIdx="0" presStyleCnt="4">
        <dgm:presLayoutVars>
          <dgm:chMax val="0"/>
          <dgm:chPref val="0"/>
          <dgm:bulletEnabled val="1"/>
        </dgm:presLayoutVars>
      </dgm:prSet>
      <dgm:spPr/>
      <dgm:t>
        <a:bodyPr/>
        <a:lstStyle/>
        <a:p>
          <a:endParaRPr lang="en-IN"/>
        </a:p>
      </dgm:t>
    </dgm:pt>
    <dgm:pt modelId="{C4D87CAE-BA68-43DC-924F-90A9DF3F54BF}" type="pres">
      <dgm:prSet presAssocID="{1CAA67D7-5516-4C7C-95AF-5C2350B5D575}" presName="quad2" presStyleLbl="node1" presStyleIdx="1" presStyleCnt="4">
        <dgm:presLayoutVars>
          <dgm:chMax val="0"/>
          <dgm:chPref val="0"/>
          <dgm:bulletEnabled val="1"/>
        </dgm:presLayoutVars>
      </dgm:prSet>
      <dgm:spPr/>
      <dgm:t>
        <a:bodyPr/>
        <a:lstStyle/>
        <a:p>
          <a:endParaRPr lang="en-US"/>
        </a:p>
      </dgm:t>
    </dgm:pt>
    <dgm:pt modelId="{BD7806DE-AC41-4515-9833-F7B1A3879E54}" type="pres">
      <dgm:prSet presAssocID="{1CAA67D7-5516-4C7C-95AF-5C2350B5D575}" presName="quad3" presStyleLbl="node1" presStyleIdx="2" presStyleCnt="4">
        <dgm:presLayoutVars>
          <dgm:chMax val="0"/>
          <dgm:chPref val="0"/>
          <dgm:bulletEnabled val="1"/>
        </dgm:presLayoutVars>
      </dgm:prSet>
      <dgm:spPr/>
      <dgm:t>
        <a:bodyPr/>
        <a:lstStyle/>
        <a:p>
          <a:endParaRPr lang="en-US"/>
        </a:p>
      </dgm:t>
    </dgm:pt>
    <dgm:pt modelId="{B100A32C-8EC3-4218-A612-8FE2E5F750EC}" type="pres">
      <dgm:prSet presAssocID="{1CAA67D7-5516-4C7C-95AF-5C2350B5D575}" presName="quad4" presStyleLbl="node1" presStyleIdx="3" presStyleCnt="4">
        <dgm:presLayoutVars>
          <dgm:chMax val="0"/>
          <dgm:chPref val="0"/>
          <dgm:bulletEnabled val="1"/>
        </dgm:presLayoutVars>
      </dgm:prSet>
      <dgm:spPr/>
      <dgm:t>
        <a:bodyPr/>
        <a:lstStyle/>
        <a:p>
          <a:endParaRPr lang="en-US"/>
        </a:p>
      </dgm:t>
    </dgm:pt>
  </dgm:ptLst>
  <dgm:cxnLst>
    <dgm:cxn modelId="{3F9A5F41-1CDD-4332-87AC-66A2B46AFE55}" type="presOf" srcId="{1CAA67D7-5516-4C7C-95AF-5C2350B5D575}" destId="{CD61FA5C-7699-4561-A896-A0ABABA54C34}" srcOrd="0" destOrd="0" presId="urn:microsoft.com/office/officeart/2005/8/layout/matrix3"/>
    <dgm:cxn modelId="{DB104596-2287-4CB0-9378-499509842619}" srcId="{1CAA67D7-5516-4C7C-95AF-5C2350B5D575}" destId="{4B24D2D4-EDD2-4169-BC54-365CF87D8518}" srcOrd="1" destOrd="0" parTransId="{CC66BB30-61FF-4C75-93CF-3CC49B947362}" sibTransId="{05BCFC77-1935-4C09-B33F-4CE81F32C64A}"/>
    <dgm:cxn modelId="{C9D07F5C-8372-4E01-BF4A-BF6DCBE436CD}" type="presOf" srcId="{B0BF3C58-3C7A-4454-B1AD-94CF8355F55A}" destId="{BD7806DE-AC41-4515-9833-F7B1A3879E54}" srcOrd="0" destOrd="0" presId="urn:microsoft.com/office/officeart/2005/8/layout/matrix3"/>
    <dgm:cxn modelId="{491622CB-7810-4694-A92B-EFFF59A01FAD}" srcId="{1CAA67D7-5516-4C7C-95AF-5C2350B5D575}" destId="{B0BF3C58-3C7A-4454-B1AD-94CF8355F55A}" srcOrd="2" destOrd="0" parTransId="{EA800FD2-782C-41EF-A848-A58C418769BA}" sibTransId="{8B3E8D7E-1E24-42D7-9218-1EDE33311EC6}"/>
    <dgm:cxn modelId="{456E6E75-8C54-40C0-96BA-68A728AA11A4}" type="presOf" srcId="{4B24D2D4-EDD2-4169-BC54-365CF87D8518}" destId="{C4D87CAE-BA68-43DC-924F-90A9DF3F54BF}" srcOrd="0" destOrd="0" presId="urn:microsoft.com/office/officeart/2005/8/layout/matrix3"/>
    <dgm:cxn modelId="{36388555-4648-41FC-A85F-74914F099034}" type="presOf" srcId="{6E13860F-2A93-4AE7-991F-260BBB78101A}" destId="{80376115-9BAC-4F7D-97D2-E9F2A2B8BFBD}" srcOrd="0" destOrd="0" presId="urn:microsoft.com/office/officeart/2005/8/layout/matrix3"/>
    <dgm:cxn modelId="{77690E85-A584-4720-BD2A-A4FF10A96698}" type="presOf" srcId="{6B61E0B5-74DF-4541-9FC3-C69BBB7179F9}" destId="{B100A32C-8EC3-4218-A612-8FE2E5F750EC}" srcOrd="0" destOrd="0" presId="urn:microsoft.com/office/officeart/2005/8/layout/matrix3"/>
    <dgm:cxn modelId="{8893189D-B4BF-43A6-8B66-57E9C057D4F7}" srcId="{1CAA67D7-5516-4C7C-95AF-5C2350B5D575}" destId="{6E13860F-2A93-4AE7-991F-260BBB78101A}" srcOrd="0" destOrd="0" parTransId="{AC95D02D-8204-4790-A659-E0867E52CADB}" sibTransId="{C8C5C2E3-71F1-4DDA-95CA-67844634AB3A}"/>
    <dgm:cxn modelId="{0AA6937A-AA52-47E0-9A01-4620FBE6925B}" srcId="{1CAA67D7-5516-4C7C-95AF-5C2350B5D575}" destId="{6B61E0B5-74DF-4541-9FC3-C69BBB7179F9}" srcOrd="3" destOrd="0" parTransId="{8E3324BC-6EBE-4FC3-8B2E-E3BF5EC0EEDD}" sibTransId="{F545E547-6874-43B8-97B4-6119BB37AFB0}"/>
    <dgm:cxn modelId="{11909A4C-46CC-4FAE-A8C0-5046E917B07C}" type="presParOf" srcId="{CD61FA5C-7699-4561-A896-A0ABABA54C34}" destId="{5FB9D7B5-2CD1-417A-9F00-AC51CD884918}" srcOrd="0" destOrd="0" presId="urn:microsoft.com/office/officeart/2005/8/layout/matrix3"/>
    <dgm:cxn modelId="{CFF90699-6E20-47D6-B17A-B16F6938DDB6}" type="presParOf" srcId="{CD61FA5C-7699-4561-A896-A0ABABA54C34}" destId="{80376115-9BAC-4F7D-97D2-E9F2A2B8BFBD}" srcOrd="1" destOrd="0" presId="urn:microsoft.com/office/officeart/2005/8/layout/matrix3"/>
    <dgm:cxn modelId="{7F7572D9-6007-4ECD-8949-C612FB2FB5B6}" type="presParOf" srcId="{CD61FA5C-7699-4561-A896-A0ABABA54C34}" destId="{C4D87CAE-BA68-43DC-924F-90A9DF3F54BF}" srcOrd="2" destOrd="0" presId="urn:microsoft.com/office/officeart/2005/8/layout/matrix3"/>
    <dgm:cxn modelId="{ECEA0B27-449B-47AC-B539-538BB72F5D7B}" type="presParOf" srcId="{CD61FA5C-7699-4561-A896-A0ABABA54C34}" destId="{BD7806DE-AC41-4515-9833-F7B1A3879E54}" srcOrd="3" destOrd="0" presId="urn:microsoft.com/office/officeart/2005/8/layout/matrix3"/>
    <dgm:cxn modelId="{05AC86BA-4387-416A-9F66-9715090E9915}" type="presParOf" srcId="{CD61FA5C-7699-4561-A896-A0ABABA54C34}" destId="{B100A32C-8EC3-4218-A612-8FE2E5F750EC}" srcOrd="4" destOrd="0" presId="urn:microsoft.com/office/officeart/2005/8/layout/matrix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C2B48F8-F2E3-4872-BD61-829884CBC46F}">
      <dsp:nvSpPr>
        <dsp:cNvPr id="0" name=""/>
        <dsp:cNvSpPr/>
      </dsp:nvSpPr>
      <dsp:spPr>
        <a:xfrm>
          <a:off x="371115" y="0"/>
          <a:ext cx="4205978" cy="1968211"/>
        </a:xfrm>
        <a:prstGeom prst="rightArrow">
          <a:avLst/>
        </a:prstGeom>
        <a:solidFill>
          <a:schemeClr val="accent2">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34DE89F3-2A32-44BE-88BE-155A93CC7EAA}">
      <dsp:nvSpPr>
        <dsp:cNvPr id="0" name=""/>
        <dsp:cNvSpPr/>
      </dsp:nvSpPr>
      <dsp:spPr>
        <a:xfrm>
          <a:off x="2476" y="590463"/>
          <a:ext cx="1191146" cy="787284"/>
        </a:xfrm>
        <a:prstGeom prst="roundRect">
          <a:avLst/>
        </a:prstGeom>
        <a:solidFill>
          <a:schemeClr val="accent2">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Prepared by </a:t>
          </a:r>
        </a:p>
        <a:p>
          <a:pPr lvl="0" algn="ctr" defTabSz="533400">
            <a:lnSpc>
              <a:spcPct val="90000"/>
            </a:lnSpc>
            <a:spcBef>
              <a:spcPct val="0"/>
            </a:spcBef>
            <a:spcAft>
              <a:spcPct val="35000"/>
            </a:spcAft>
          </a:pPr>
          <a:r>
            <a:rPr lang="en-US" sz="1200" kern="1200"/>
            <a:t>Project Manager</a:t>
          </a:r>
        </a:p>
      </dsp:txBody>
      <dsp:txXfrm>
        <a:off x="40908" y="628895"/>
        <a:ext cx="1114282" cy="710420"/>
      </dsp:txXfrm>
    </dsp:sp>
    <dsp:sp modelId="{456D1756-6610-416D-B45A-F7B4BCDCE86F}">
      <dsp:nvSpPr>
        <dsp:cNvPr id="0" name=""/>
        <dsp:cNvSpPr/>
      </dsp:nvSpPr>
      <dsp:spPr>
        <a:xfrm>
          <a:off x="1253180" y="590463"/>
          <a:ext cx="1191146" cy="787284"/>
        </a:xfrm>
        <a:prstGeom prst="roundRect">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Reviewed by Senior Project Manager</a:t>
          </a:r>
        </a:p>
      </dsp:txBody>
      <dsp:txXfrm>
        <a:off x="1291612" y="628895"/>
        <a:ext cx="1114282" cy="710420"/>
      </dsp:txXfrm>
    </dsp:sp>
    <dsp:sp modelId="{362869F1-4227-47ED-87BD-D120ECA47682}">
      <dsp:nvSpPr>
        <dsp:cNvPr id="0" name=""/>
        <dsp:cNvSpPr/>
      </dsp:nvSpPr>
      <dsp:spPr>
        <a:xfrm>
          <a:off x="2503883" y="590463"/>
          <a:ext cx="1191146" cy="787284"/>
        </a:xfrm>
        <a:prstGeom prst="roundRect">
          <a:avLst/>
        </a:prstGeom>
        <a:solidFill>
          <a:schemeClr val="accent4">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Approved by Regional Manager</a:t>
          </a:r>
        </a:p>
      </dsp:txBody>
      <dsp:txXfrm>
        <a:off x="2542315" y="628895"/>
        <a:ext cx="1114282" cy="710420"/>
      </dsp:txXfrm>
    </dsp:sp>
    <dsp:sp modelId="{B613D4B1-9170-4359-B729-4DE805B607DC}">
      <dsp:nvSpPr>
        <dsp:cNvPr id="0" name=""/>
        <dsp:cNvSpPr/>
      </dsp:nvSpPr>
      <dsp:spPr>
        <a:xfrm>
          <a:off x="3754587" y="590463"/>
          <a:ext cx="1191146" cy="787284"/>
        </a:xfrm>
        <a:prstGeom prst="roundRect">
          <a:avLst/>
        </a:prstGeom>
        <a:solidFill>
          <a:schemeClr val="accent5">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For Infomation </a:t>
          </a:r>
        </a:p>
        <a:p>
          <a:pPr lvl="0" algn="ctr" defTabSz="533400">
            <a:lnSpc>
              <a:spcPct val="90000"/>
            </a:lnSpc>
            <a:spcBef>
              <a:spcPct val="0"/>
            </a:spcBef>
            <a:spcAft>
              <a:spcPct val="35000"/>
            </a:spcAft>
          </a:pPr>
          <a:r>
            <a:rPr lang="en-US" sz="1200" kern="1200"/>
            <a:t>Accounts</a:t>
          </a:r>
        </a:p>
      </dsp:txBody>
      <dsp:txXfrm>
        <a:off x="3793019" y="628895"/>
        <a:ext cx="1114282" cy="71042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FB9D7B5-2CD1-417A-9F00-AC51CD884918}">
      <dsp:nvSpPr>
        <dsp:cNvPr id="0" name=""/>
        <dsp:cNvSpPr/>
      </dsp:nvSpPr>
      <dsp:spPr>
        <a:xfrm>
          <a:off x="0" y="456766"/>
          <a:ext cx="1357744" cy="1357744"/>
        </a:xfrm>
        <a:prstGeom prst="diamond">
          <a:avLst/>
        </a:prstGeom>
        <a:solidFill>
          <a:schemeClr val="accent5">
            <a:tint val="40000"/>
            <a:hueOff val="0"/>
            <a:satOff val="0"/>
            <a:lumOff val="0"/>
            <a:alphaOff val="0"/>
          </a:schemeClr>
        </a:solidFill>
        <a:ln>
          <a:noFill/>
        </a:ln>
        <a:effectLst>
          <a:outerShdw blurRad="40000" dist="20000" dir="5400000" rotWithShape="0">
            <a:srgbClr val="000000">
              <a:alpha val="38000"/>
            </a:srgbClr>
          </a:outerShdw>
        </a:effectLst>
      </dsp:spPr>
      <dsp:style>
        <a:lnRef idx="0">
          <a:scrgbClr r="0" g="0" b="0"/>
        </a:lnRef>
        <a:fillRef idx="1">
          <a:scrgbClr r="0" g="0" b="0"/>
        </a:fillRef>
        <a:effectRef idx="1">
          <a:scrgbClr r="0" g="0" b="0"/>
        </a:effectRef>
        <a:fontRef idx="minor"/>
      </dsp:style>
    </dsp:sp>
    <dsp:sp modelId="{80376115-9BAC-4F7D-97D2-E9F2A2B8BFBD}">
      <dsp:nvSpPr>
        <dsp:cNvPr id="0" name=""/>
        <dsp:cNvSpPr/>
      </dsp:nvSpPr>
      <dsp:spPr>
        <a:xfrm>
          <a:off x="128985" y="585752"/>
          <a:ext cx="529520" cy="529520"/>
        </a:xfrm>
        <a:prstGeom prst="roundRect">
          <a:avLst/>
        </a:prstGeom>
        <a:gradFill rotWithShape="0">
          <a:gsLst>
            <a:gs pos="0">
              <a:schemeClr val="accent5">
                <a:hueOff val="0"/>
                <a:satOff val="0"/>
                <a:lumOff val="0"/>
                <a:alphaOff val="0"/>
                <a:tint val="50000"/>
                <a:satMod val="300000"/>
              </a:schemeClr>
            </a:gs>
            <a:gs pos="35000">
              <a:schemeClr val="accent5">
                <a:hueOff val="0"/>
                <a:satOff val="0"/>
                <a:lumOff val="0"/>
                <a:alphaOff val="0"/>
                <a:tint val="37000"/>
                <a:satMod val="300000"/>
              </a:schemeClr>
            </a:gs>
            <a:gs pos="100000">
              <a:schemeClr val="accent5">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NJSEI</a:t>
          </a:r>
        </a:p>
      </dsp:txBody>
      <dsp:txXfrm>
        <a:off x="154834" y="611601"/>
        <a:ext cx="477822" cy="477822"/>
      </dsp:txXfrm>
    </dsp:sp>
    <dsp:sp modelId="{C4D87CAE-BA68-43DC-924F-90A9DF3F54BF}">
      <dsp:nvSpPr>
        <dsp:cNvPr id="0" name=""/>
        <dsp:cNvSpPr/>
      </dsp:nvSpPr>
      <dsp:spPr>
        <a:xfrm>
          <a:off x="699238" y="585752"/>
          <a:ext cx="529520" cy="529520"/>
        </a:xfrm>
        <a:prstGeom prst="roundRect">
          <a:avLst/>
        </a:prstGeom>
        <a:gradFill rotWithShape="0">
          <a:gsLst>
            <a:gs pos="0">
              <a:schemeClr val="accent5">
                <a:hueOff val="-3311292"/>
                <a:satOff val="13270"/>
                <a:lumOff val="2876"/>
                <a:alphaOff val="0"/>
                <a:tint val="50000"/>
                <a:satMod val="300000"/>
              </a:schemeClr>
            </a:gs>
            <a:gs pos="35000">
              <a:schemeClr val="accent5">
                <a:hueOff val="-3311292"/>
                <a:satOff val="13270"/>
                <a:lumOff val="2876"/>
                <a:alphaOff val="0"/>
                <a:tint val="37000"/>
                <a:satMod val="300000"/>
              </a:schemeClr>
            </a:gs>
            <a:gs pos="100000">
              <a:schemeClr val="accent5">
                <a:hueOff val="-3311292"/>
                <a:satOff val="13270"/>
                <a:lumOff val="2876"/>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QMS</a:t>
          </a:r>
        </a:p>
      </dsp:txBody>
      <dsp:txXfrm>
        <a:off x="725087" y="611601"/>
        <a:ext cx="477822" cy="477822"/>
      </dsp:txXfrm>
    </dsp:sp>
    <dsp:sp modelId="{BD7806DE-AC41-4515-9833-F7B1A3879E54}">
      <dsp:nvSpPr>
        <dsp:cNvPr id="0" name=""/>
        <dsp:cNvSpPr/>
      </dsp:nvSpPr>
      <dsp:spPr>
        <a:xfrm>
          <a:off x="128985" y="1156005"/>
          <a:ext cx="529520" cy="529520"/>
        </a:xfrm>
        <a:prstGeom prst="roundRect">
          <a:avLst/>
        </a:prstGeom>
        <a:gradFill rotWithShape="0">
          <a:gsLst>
            <a:gs pos="0">
              <a:schemeClr val="accent5">
                <a:hueOff val="-6622584"/>
                <a:satOff val="26541"/>
                <a:lumOff val="5752"/>
                <a:alphaOff val="0"/>
                <a:tint val="50000"/>
                <a:satMod val="300000"/>
              </a:schemeClr>
            </a:gs>
            <a:gs pos="35000">
              <a:schemeClr val="accent5">
                <a:hueOff val="-6622584"/>
                <a:satOff val="26541"/>
                <a:lumOff val="5752"/>
                <a:alphaOff val="0"/>
                <a:tint val="37000"/>
                <a:satMod val="300000"/>
              </a:schemeClr>
            </a:gs>
            <a:gs pos="100000">
              <a:schemeClr val="accent5">
                <a:hueOff val="-6622584"/>
                <a:satOff val="26541"/>
                <a:lumOff val="5752"/>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IN" sz="1200" kern="1200"/>
            <a:t>PMD1</a:t>
          </a:r>
          <a:endParaRPr lang="en-US" sz="1200" kern="1200"/>
        </a:p>
      </dsp:txBody>
      <dsp:txXfrm>
        <a:off x="154834" y="1181854"/>
        <a:ext cx="477822" cy="477822"/>
      </dsp:txXfrm>
    </dsp:sp>
    <dsp:sp modelId="{B100A32C-8EC3-4218-A612-8FE2E5F750EC}">
      <dsp:nvSpPr>
        <dsp:cNvPr id="0" name=""/>
        <dsp:cNvSpPr/>
      </dsp:nvSpPr>
      <dsp:spPr>
        <a:xfrm>
          <a:off x="699238" y="1156005"/>
          <a:ext cx="529520" cy="529520"/>
        </a:xfrm>
        <a:prstGeom prst="roundRect">
          <a:avLst/>
        </a:prstGeom>
        <a:gradFill rotWithShape="0">
          <a:gsLst>
            <a:gs pos="0">
              <a:schemeClr val="accent5">
                <a:hueOff val="-9933876"/>
                <a:satOff val="39811"/>
                <a:lumOff val="8628"/>
                <a:alphaOff val="0"/>
                <a:tint val="50000"/>
                <a:satMod val="300000"/>
              </a:schemeClr>
            </a:gs>
            <a:gs pos="35000">
              <a:schemeClr val="accent5">
                <a:hueOff val="-9933876"/>
                <a:satOff val="39811"/>
                <a:lumOff val="8628"/>
                <a:alphaOff val="0"/>
                <a:tint val="37000"/>
                <a:satMod val="300000"/>
              </a:schemeClr>
            </a:gs>
            <a:gs pos="100000">
              <a:schemeClr val="accent5">
                <a:hueOff val="-9933876"/>
                <a:satOff val="39811"/>
                <a:lumOff val="8628"/>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5720" tIns="45720" rIns="45720" bIns="45720" numCol="1" spcCol="1270" anchor="ctr" anchorCtr="0">
          <a:noAutofit/>
        </a:bodyPr>
        <a:lstStyle/>
        <a:p>
          <a:pPr lvl="0" algn="ctr" defTabSz="533400">
            <a:lnSpc>
              <a:spcPct val="90000"/>
            </a:lnSpc>
            <a:spcBef>
              <a:spcPct val="0"/>
            </a:spcBef>
            <a:spcAft>
              <a:spcPct val="35000"/>
            </a:spcAft>
          </a:pPr>
          <a:r>
            <a:rPr lang="en-US" sz="1200" kern="1200"/>
            <a:t>Date</a:t>
          </a:r>
        </a:p>
      </dsp:txBody>
      <dsp:txXfrm>
        <a:off x="725087" y="1181854"/>
        <a:ext cx="477822" cy="477822"/>
      </dsp:txXfrm>
    </dsp:sp>
  </dsp:spTree>
</dsp:drawing>
</file>

<file path=xl/diagrams/layout1.xml><?xml version="1.0" encoding="utf-8"?>
<dgm:layoutDef xmlns:dgm="http://schemas.openxmlformats.org/drawingml/2006/diagram" xmlns:a="http://schemas.openxmlformats.org/drawingml/2006/main" uniqueId="urn:microsoft.com/office/officeart/2005/8/layout/hProcess9">
  <dgm:title val=""/>
  <dgm:desc val=""/>
  <dgm:catLst>
    <dgm:cat type="process" pri="5000"/>
    <dgm:cat type="convert"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tProcess">
    <dgm:varLst>
      <dgm:dir/>
      <dgm:resizeHandles val="exact"/>
    </dgm:varLst>
    <dgm:alg type="composite">
      <dgm:param type="horzAlign" val="ctr"/>
      <dgm:param type="vertAlign" val="mid"/>
    </dgm:alg>
    <dgm:shape xmlns:r="http://schemas.openxmlformats.org/officeDocument/2006/relationships" r:blip="">
      <dgm:adjLst/>
    </dgm:shape>
    <dgm:presOf/>
    <dgm:constrLst>
      <dgm:constr type="w" for="ch" forName="arrow" refType="w" fact="0.85"/>
      <dgm:constr type="h" for="ch" forName="arrow" refType="h"/>
      <dgm:constr type="ctrX" for="ch" forName="arrow" refType="w" fact="0.5"/>
      <dgm:constr type="ctrY" for="ch" forName="arrow" refType="h" fact="0.5"/>
      <dgm:constr type="w" for="ch" forName="linearProcess" refType="w"/>
      <dgm:constr type="h" for="ch" forName="linearProcess" refType="h" fact="0.4"/>
      <dgm:constr type="ctrX" for="ch" forName="linearProcess" refType="w" fact="0.5"/>
      <dgm:constr type="ctrY" for="ch" forName="linearProcess" refType="h" fact="0.5"/>
    </dgm:constrLst>
    <dgm:ruleLst/>
    <dgm:layoutNode name="arrow" styleLbl="bgShp">
      <dgm:alg type="sp"/>
      <dgm:choose name="Name0">
        <dgm:if name="Name1" func="var" arg="dir" op="equ" val="norm">
          <dgm:shape xmlns:r="http://schemas.openxmlformats.org/officeDocument/2006/relationships" type="rightArrow" r:blip="">
            <dgm:adjLst/>
          </dgm:shape>
        </dgm:if>
        <dgm:else name="Name2">
          <dgm:shape xmlns:r="http://schemas.openxmlformats.org/officeDocument/2006/relationships" type="leftArrow" r:blip="">
            <dgm:adjLst/>
          </dgm:shape>
        </dgm:else>
      </dgm:choose>
      <dgm:presOf/>
      <dgm:constrLst/>
      <dgm:ruleLst/>
    </dgm:layoutNode>
    <dgm:layoutNode name="linearProcess">
      <dgm:choose name="Name3">
        <dgm:if name="Name4" func="var" arg="dir" op="equ" val="norm">
          <dgm:alg type="lin"/>
        </dgm:if>
        <dgm:else name="Name5">
          <dgm:alg type="lin">
            <dgm:param type="linDir" val="fromR"/>
          </dgm:alg>
        </dgm:else>
      </dgm:choose>
      <dgm:shape xmlns:r="http://schemas.openxmlformats.org/officeDocument/2006/relationships" r:blip="">
        <dgm:adjLst/>
      </dgm:shape>
      <dgm:presOf/>
      <dgm:constrLst>
        <dgm:constr type="userA" for="ch" ptType="node" refType="w"/>
        <dgm:constr type="h" for="ch" ptType="node" refType="h"/>
        <dgm:constr type="w" for="ch" ptType="node" op="equ"/>
        <dgm:constr type="w" for="ch" forName="sibTrans" refType="w" fact="0.05"/>
        <dgm:constr type="primFontSz" for="ch" ptType="node" op="equ" val="65"/>
      </dgm:constrLst>
      <dgm:ruleLst/>
      <dgm:forEach name="Name6" axis="ch" ptType="node">
        <dgm:layoutNode name="textNode" styleLbl="node1">
          <dgm:varLst>
            <dgm:bulletEnabled val="1"/>
          </dgm:varLst>
          <dgm:alg type="tx"/>
          <dgm:shape xmlns:r="http://schemas.openxmlformats.org/officeDocument/2006/relationships" type="roundRect" r:blip="">
            <dgm:adjLst/>
          </dgm:shape>
          <dgm:presOf axis="desOrSelf" ptType="node"/>
          <dgm:constrLst>
            <dgm:constr type="userA"/>
            <dgm:constr type="w" refType="userA" fact="0.3"/>
            <dgm:constr type="tMarg" refType="primFontSz" fact="0.3"/>
            <dgm:constr type="bMarg" refType="primFontSz" fact="0.3"/>
            <dgm:constr type="lMarg" refType="primFontSz" fact="0.3"/>
            <dgm:constr type="rMarg" refType="primFontSz" fact="0.3"/>
          </dgm:constrLst>
          <dgm:ruleLst>
            <dgm:rule type="w" val="NaN" fact="1" max="NaN"/>
            <dgm:rule type="primFontSz" val="5" fact="NaN" max="NaN"/>
          </dgm:ruleLst>
        </dgm:layoutNode>
        <dgm:forEach name="Name7" axis="followSib" ptType="sibTrans" cnt="1">
          <dgm:layoutNode name="sibTrans">
            <dgm:alg type="sp"/>
            <dgm:shape xmlns:r="http://schemas.openxmlformats.org/officeDocument/2006/relationships" r:blip="">
              <dgm:adjLst/>
            </dgm:shape>
            <dgm:presOf/>
            <dgm:constrLst/>
            <dgm:ruleLst/>
          </dgm:layoutNode>
        </dgm:forEach>
      </dgm:forEach>
    </dgm:layoutNode>
  </dgm:layoutNode>
</dgm:layoutDef>
</file>

<file path=xl/diagrams/layout2.xml><?xml version="1.0" encoding="utf-8"?>
<dgm:layoutDef xmlns:dgm="http://schemas.openxmlformats.org/drawingml/2006/diagram" xmlns:a="http://schemas.openxmlformats.org/drawingml/2006/main" uniqueId="urn:microsoft.com/office/officeart/2005/8/layout/matrix3">
  <dgm:title val=""/>
  <dgm:desc val=""/>
  <dgm:catLst>
    <dgm:cat type="matrix" pri="1000"/>
    <dgm:cat type="convert" pri="18000"/>
  </dgm:catLst>
  <dgm:samp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0" destOrd="0"/>
        <dgm:cxn modelId="8" srcId="0" destId="4" srcOrd="1" destOrd="0"/>
      </dgm:cxnLst>
      <dgm:bg/>
      <dgm:whole/>
    </dgm:dataModel>
  </dgm:sampData>
  <dgm:styleData useDef="1">
    <dgm:dataModel>
      <dgm:ptLst/>
      <dgm:bg/>
      <dgm:whole/>
    </dgm:dataModel>
  </dgm:styleData>
  <dgm:clrData useDef="1">
    <dgm:dataModel>
      <dgm:ptLst/>
      <dgm:bg/>
      <dgm:whole/>
    </dgm:dataModel>
  </dgm:clrData>
  <dgm:layoutNode name="matrix">
    <dgm:varLst>
      <dgm:chMax val="1"/>
      <dgm:dir/>
      <dgm:resizeHandles val="exact"/>
    </dgm:varLst>
    <dgm:alg type="composite">
      <dgm:param type="ar" val="1"/>
    </dgm:alg>
    <dgm:shape xmlns:r="http://schemas.openxmlformats.org/officeDocument/2006/relationships" r:blip="">
      <dgm:adjLst/>
    </dgm:shape>
    <dgm:presOf/>
    <dgm:choose name="Name0">
      <dgm:if name="Name1" func="var" arg="dir" op="equ" val="norm">
        <dgm:constrLst>
          <dgm:constr type="w" for="ch" forName="diamond" refType="w"/>
          <dgm:constr type="h" for="ch" forName="diamond" refType="h"/>
          <dgm:constr type="w" for="ch" forName="quad1" refType="w" fact="0.39"/>
          <dgm:constr type="h" for="ch" forName="quad1" refType="h" fact="0.39"/>
          <dgm:constr type="ctrX" for="ch" forName="quad1" refType="w" fact="0.29"/>
          <dgm:constr type="ctrY" for="ch" forName="quad1" refType="h" fact="0.29"/>
          <dgm:constr type="w" for="ch" forName="quad2" refType="w" fact="0.39"/>
          <dgm:constr type="h" for="ch" forName="quad2" refType="h" fact="0.39"/>
          <dgm:constr type="ctrX" for="ch" forName="quad2" refType="w" fact="0.71"/>
          <dgm:constr type="ctrY" for="ch" forName="quad2" refType="h" fact="0.29"/>
          <dgm:constr type="w" for="ch" forName="quad3" refType="w" fact="0.39"/>
          <dgm:constr type="h" for="ch" forName="quad3" refType="h" fact="0.39"/>
          <dgm:constr type="ctrX" for="ch" forName="quad3" refType="w" fact="0.29"/>
          <dgm:constr type="ctrY" for="ch" forName="quad3" refType="h" fact="0.71"/>
          <dgm:constr type="w" for="ch" forName="quad4" refType="w" fact="0.39"/>
          <dgm:constr type="h" for="ch" forName="quad4" refType="h" fact="0.39"/>
          <dgm:constr type="ctrX" for="ch" forName="quad4" refType="w" fact="0.71"/>
          <dgm:constr type="ctrY" for="ch" forName="quad4" refType="h" fact="0.71"/>
          <dgm:constr type="primFontSz" for="des" ptType="node" op="equ" val="65"/>
        </dgm:constrLst>
      </dgm:if>
      <dgm:else name="Name2">
        <dgm:constrLst>
          <dgm:constr type="w" for="ch" forName="diamond" refType="w"/>
          <dgm:constr type="h" for="ch" forName="diamond" refType="h"/>
          <dgm:constr type="w" for="ch" forName="quad1" refType="w" fact="0.39"/>
          <dgm:constr type="h" for="ch" forName="quad1" refType="h" fact="0.39"/>
          <dgm:constr type="ctrX" for="ch" forName="quad1" refType="w" fact="0.71"/>
          <dgm:constr type="ctrY" for="ch" forName="quad1" refType="h" fact="0.29"/>
          <dgm:constr type="w" for="ch" forName="quad2" refType="w" fact="0.39"/>
          <dgm:constr type="h" for="ch" forName="quad2" refType="h" fact="0.39"/>
          <dgm:constr type="ctrX" for="ch" forName="quad2" refType="w" fact="0.29"/>
          <dgm:constr type="ctrY" for="ch" forName="quad2" refType="h" fact="0.29"/>
          <dgm:constr type="w" for="ch" forName="quad3" refType="w" fact="0.39"/>
          <dgm:constr type="h" for="ch" forName="quad3" refType="h" fact="0.39"/>
          <dgm:constr type="ctrX" for="ch" forName="quad3" refType="w" fact="0.71"/>
          <dgm:constr type="ctrY" for="ch" forName="quad3" refType="h" fact="0.71"/>
          <dgm:constr type="w" for="ch" forName="quad4" refType="w" fact="0.39"/>
          <dgm:constr type="h" for="ch" forName="quad4" refType="h" fact="0.39"/>
          <dgm:constr type="ctrX" for="ch" forName="quad4" refType="w" fact="0.29"/>
          <dgm:constr type="ctrY" for="ch" forName="quad4" refType="h" fact="0.71"/>
          <dgm:constr type="primFontSz" for="des" ptType="node" op="equ" val="65"/>
        </dgm:constrLst>
      </dgm:else>
    </dgm:choose>
    <dgm:ruleLst/>
    <dgm:choose name="Name3">
      <dgm:if name="Name4" axis="ch" ptType="node" func="cnt" op="gte" val="1">
        <dgm:layoutNode name="diamond" styleLbl="bgShp">
          <dgm:alg type="sp"/>
          <dgm:shape xmlns:r="http://schemas.openxmlformats.org/officeDocument/2006/relationships" type="diamond" r:blip="">
            <dgm:adjLst/>
          </dgm:shape>
          <dgm:presOf/>
          <dgm:constrLst>
            <dgm:constr type="w" refType="h" op="equ"/>
          </dgm:constrLst>
          <dgm:ruleLst/>
        </dgm:layoutNode>
        <dgm:layoutNode name="quad1">
          <dgm:varLst>
            <dgm:chMax val="0"/>
            <dgm:chPref val="0"/>
            <dgm:bulletEnabled val="1"/>
          </dgm:varLst>
          <dgm:alg type="tx"/>
          <dgm:shape xmlns:r="http://schemas.openxmlformats.org/officeDocument/2006/relationships" type="roundRect" r:blip="">
            <dgm:adjLst/>
          </dgm:shape>
          <dgm:presOf axis="ch desOrSelf" ptType="node node" st="1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quad2">
          <dgm:varLst>
            <dgm:chMax val="0"/>
            <dgm:chPref val="0"/>
            <dgm:bulletEnabled val="1"/>
          </dgm:varLst>
          <dgm:alg type="tx"/>
          <dgm:shape xmlns:r="http://schemas.openxmlformats.org/officeDocument/2006/relationships" type="roundRect" r:blip="">
            <dgm:adjLst/>
          </dgm:shape>
          <dgm:presOf axis="ch desOrSelf" ptType="node node" st="2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quad3">
          <dgm:varLst>
            <dgm:chMax val="0"/>
            <dgm:chPref val="0"/>
            <dgm:bulletEnabled val="1"/>
          </dgm:varLst>
          <dgm:alg type="tx"/>
          <dgm:shape xmlns:r="http://schemas.openxmlformats.org/officeDocument/2006/relationships" type="roundRect" r:blip="">
            <dgm:adjLst/>
          </dgm:shape>
          <dgm:presOf axis="ch desOrSelf" ptType="node node" st="3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quad4">
          <dgm:varLst>
            <dgm:chMax val="0"/>
            <dgm:chPref val="0"/>
            <dgm:bulletEnabled val="1"/>
          </dgm:varLst>
          <dgm:alg type="tx"/>
          <dgm:shape xmlns:r="http://schemas.openxmlformats.org/officeDocument/2006/relationships" type="roundRect" r:blip="">
            <dgm:adjLst/>
          </dgm:shape>
          <dgm:presOf axis="ch desOrSelf" ptType="node node" st="4 1" cnt="1 0"/>
          <dgm:constrLst>
            <dgm:constr type="w" refType="h" op="equ"/>
            <dgm:constr type="tMarg" refType="primFontSz" fact="0.3"/>
            <dgm:constr type="bMarg" refType="primFontSz" fact="0.3"/>
            <dgm:constr type="lMarg" refType="primFontSz" fact="0.3"/>
            <dgm:constr type="rMarg" refType="primFontSz" fact="0.3"/>
          </dgm:constrLst>
          <dgm:ruleLst>
            <dgm:rule type="primFontSz" val="5" fact="NaN" max="NaN"/>
          </dgm:ruleLst>
        </dgm:layoutNode>
      </dgm:if>
      <dgm:else name="Name5"/>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3</xdr:col>
      <xdr:colOff>341340</xdr:colOff>
      <xdr:row>0</xdr:row>
      <xdr:rowOff>15876</xdr:rowOff>
    </xdr:from>
    <xdr:to>
      <xdr:col>10</xdr:col>
      <xdr:colOff>269875</xdr:colOff>
      <xdr:row>15</xdr:row>
      <xdr:rowOff>126712</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124692</xdr:colOff>
      <xdr:row>0</xdr:row>
      <xdr:rowOff>0</xdr:rowOff>
    </xdr:from>
    <xdr:to>
      <xdr:col>2</xdr:col>
      <xdr:colOff>263237</xdr:colOff>
      <xdr:row>17</xdr:row>
      <xdr:rowOff>166254</xdr:rowOff>
    </xdr:to>
    <xdr:graphicFrame macro="">
      <xdr:nvGraphicFramePr>
        <xdr:cNvPr id="3" name="Diagram 2"/>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76"/>
  <sheetViews>
    <sheetView tabSelected="1" view="pageBreakPreview" topLeftCell="A7" zoomScale="115" zoomScaleNormal="100" zoomScaleSheetLayoutView="115" workbookViewId="0">
      <selection activeCell="C20" sqref="C20:K20"/>
    </sheetView>
  </sheetViews>
  <sheetFormatPr defaultRowHeight="12.75"/>
  <cols>
    <col min="4" max="4" width="10.5703125" customWidth="1"/>
    <col min="8" max="8" width="13.7109375" customWidth="1"/>
    <col min="9" max="9" width="14.42578125" customWidth="1"/>
    <col min="11" max="11" width="9.140625" customWidth="1"/>
  </cols>
  <sheetData>
    <row r="1" spans="1:1" s="9" customFormat="1" ht="10.15" customHeight="1">
      <c r="A1" s="8"/>
    </row>
    <row r="2" spans="1:1" s="9" customFormat="1" ht="10.15" customHeight="1">
      <c r="A2" s="8"/>
    </row>
    <row r="3" spans="1:1" s="9" customFormat="1" ht="10.15" customHeight="1">
      <c r="A3" s="8"/>
    </row>
    <row r="4" spans="1:1" s="9" customFormat="1" ht="10.15" customHeight="1">
      <c r="A4" s="8"/>
    </row>
    <row r="5" spans="1:1" s="9" customFormat="1" ht="10.15" customHeight="1">
      <c r="A5" s="8"/>
    </row>
    <row r="6" spans="1:1" s="9" customFormat="1" ht="10.15" customHeight="1">
      <c r="A6" s="8"/>
    </row>
    <row r="7" spans="1:1" s="9" customFormat="1" ht="10.15" customHeight="1">
      <c r="A7" s="8"/>
    </row>
    <row r="8" spans="1:1" s="9" customFormat="1" ht="10.15" customHeight="1">
      <c r="A8" s="8"/>
    </row>
    <row r="9" spans="1:1" s="9" customFormat="1" ht="10.15" customHeight="1">
      <c r="A9" s="8"/>
    </row>
    <row r="10" spans="1:1" s="9" customFormat="1" ht="10.15" customHeight="1">
      <c r="A10" s="8"/>
    </row>
    <row r="11" spans="1:1" s="9" customFormat="1" ht="10.15" customHeight="1">
      <c r="A11" s="8"/>
    </row>
    <row r="12" spans="1:1" s="9" customFormat="1" ht="10.15" customHeight="1">
      <c r="A12" s="8"/>
    </row>
    <row r="13" spans="1:1" s="9" customFormat="1" ht="10.15" customHeight="1">
      <c r="A13" s="8"/>
    </row>
    <row r="14" spans="1:1" s="9" customFormat="1" ht="10.15" customHeight="1">
      <c r="A14" s="8"/>
    </row>
    <row r="15" spans="1:1" s="9" customFormat="1" ht="10.15" customHeight="1">
      <c r="A15" s="8"/>
    </row>
    <row r="16" spans="1:1" s="9" customFormat="1" ht="10.15" customHeight="1">
      <c r="A16" s="8"/>
    </row>
    <row r="17" spans="1:11" s="9" customFormat="1" ht="10.15" customHeight="1">
      <c r="A17" s="8"/>
    </row>
    <row r="18" spans="1:11" s="9" customFormat="1" ht="20.25">
      <c r="A18" s="62" t="s">
        <v>48</v>
      </c>
      <c r="B18" s="63"/>
      <c r="C18" s="63"/>
      <c r="D18" s="63"/>
      <c r="E18" s="63"/>
      <c r="F18" s="63"/>
      <c r="G18" s="63"/>
      <c r="H18" s="63"/>
      <c r="I18" s="63"/>
      <c r="J18" s="63"/>
      <c r="K18" s="64"/>
    </row>
    <row r="19" spans="1:11" s="9" customFormat="1" ht="10.15" customHeight="1">
      <c r="A19" s="10"/>
      <c r="B19" s="11"/>
      <c r="C19" s="11"/>
      <c r="D19" s="11"/>
      <c r="E19" s="11"/>
      <c r="F19" s="11"/>
      <c r="G19" s="11"/>
      <c r="H19" s="11"/>
      <c r="I19" s="11"/>
      <c r="J19" s="11"/>
      <c r="K19" s="11"/>
    </row>
    <row r="20" spans="1:11" s="9" customFormat="1" ht="23.25" customHeight="1">
      <c r="A20" s="52" t="s">
        <v>71</v>
      </c>
      <c r="B20" s="52"/>
      <c r="C20" s="53"/>
      <c r="D20" s="54"/>
      <c r="E20" s="54"/>
      <c r="F20" s="54"/>
      <c r="G20" s="54"/>
      <c r="H20" s="54"/>
      <c r="I20" s="54"/>
      <c r="J20" s="54"/>
      <c r="K20" s="55"/>
    </row>
    <row r="21" spans="1:11" s="9" customFormat="1" ht="26.25" customHeight="1">
      <c r="A21" s="65" t="s">
        <v>80</v>
      </c>
      <c r="B21" s="66"/>
      <c r="C21" s="53"/>
      <c r="D21" s="54"/>
      <c r="E21" s="54"/>
      <c r="F21" s="54"/>
      <c r="G21" s="54"/>
      <c r="H21" s="54"/>
      <c r="I21" s="54"/>
      <c r="J21" s="54"/>
      <c r="K21" s="55"/>
    </row>
    <row r="22" spans="1:11" s="9" customFormat="1" ht="27.75" customHeight="1">
      <c r="A22" s="57" t="s">
        <v>67</v>
      </c>
      <c r="B22" s="57"/>
      <c r="C22" s="58"/>
      <c r="D22" s="59"/>
      <c r="E22" s="59"/>
      <c r="F22" s="59"/>
      <c r="G22" s="60"/>
      <c r="H22" s="19" t="s">
        <v>74</v>
      </c>
      <c r="I22" s="20"/>
      <c r="J22" s="13" t="s">
        <v>66</v>
      </c>
      <c r="K22" s="15"/>
    </row>
    <row r="23" spans="1:11" s="9" customFormat="1" ht="24.95" customHeight="1">
      <c r="A23" s="56" t="s">
        <v>72</v>
      </c>
      <c r="B23" s="56"/>
      <c r="C23" s="12"/>
      <c r="D23" s="13" t="s">
        <v>73</v>
      </c>
      <c r="E23" s="18"/>
      <c r="F23" s="13" t="s">
        <v>65</v>
      </c>
      <c r="G23" s="14"/>
      <c r="H23" s="19" t="s">
        <v>59</v>
      </c>
      <c r="I23" s="20"/>
      <c r="J23" s="13" t="s">
        <v>68</v>
      </c>
      <c r="K23" s="15"/>
    </row>
    <row r="24" spans="1:11" s="9" customFormat="1" ht="37.5" customHeight="1">
      <c r="A24" s="51" t="s">
        <v>70</v>
      </c>
      <c r="B24" s="51"/>
      <c r="C24" s="31"/>
      <c r="D24" s="32" t="s">
        <v>69</v>
      </c>
      <c r="E24" s="33"/>
      <c r="F24" s="32" t="s">
        <v>78</v>
      </c>
      <c r="G24" s="33" t="s">
        <v>79</v>
      </c>
      <c r="H24" s="21" t="s">
        <v>75</v>
      </c>
      <c r="I24" s="34"/>
      <c r="J24" s="21" t="s">
        <v>76</v>
      </c>
      <c r="K24" s="35"/>
    </row>
    <row r="25" spans="1:11" s="17" customFormat="1" ht="27" customHeight="1">
      <c r="A25" s="56" t="s">
        <v>69</v>
      </c>
      <c r="B25" s="56"/>
      <c r="C25" s="58"/>
      <c r="D25" s="59"/>
      <c r="E25" s="60"/>
      <c r="F25" s="13" t="s">
        <v>77</v>
      </c>
      <c r="G25" s="16"/>
      <c r="H25" s="36"/>
      <c r="I25" s="20"/>
      <c r="J25" s="36"/>
      <c r="K25" s="15"/>
    </row>
    <row r="26" spans="1:11" ht="28.5" customHeight="1">
      <c r="A26" s="30" t="s">
        <v>0</v>
      </c>
      <c r="B26" s="80" t="s">
        <v>1</v>
      </c>
      <c r="C26" s="82"/>
      <c r="D26" s="82"/>
      <c r="E26" s="82"/>
      <c r="F26" s="81"/>
      <c r="G26" s="42" t="s">
        <v>20</v>
      </c>
      <c r="H26" s="23" t="s">
        <v>47</v>
      </c>
      <c r="I26" s="30" t="s">
        <v>2</v>
      </c>
      <c r="J26" s="80" t="s">
        <v>3</v>
      </c>
      <c r="K26" s="81"/>
    </row>
    <row r="27" spans="1:11" ht="15" customHeight="1">
      <c r="A27" s="83" t="s">
        <v>25</v>
      </c>
      <c r="B27" s="83"/>
      <c r="C27" s="83"/>
      <c r="D27" s="83"/>
      <c r="E27" s="83"/>
      <c r="F27" s="83"/>
      <c r="G27" s="83"/>
      <c r="H27" s="83"/>
      <c r="I27" s="83"/>
      <c r="J27" s="83"/>
      <c r="K27" s="83"/>
    </row>
    <row r="28" spans="1:11" ht="15" customHeight="1">
      <c r="A28" s="23" t="s">
        <v>4</v>
      </c>
      <c r="B28" s="68" t="s">
        <v>19</v>
      </c>
      <c r="C28" s="69"/>
      <c r="D28" s="69"/>
      <c r="E28" s="69"/>
      <c r="F28" s="70"/>
      <c r="G28" s="13"/>
      <c r="H28" s="23"/>
      <c r="I28" s="13">
        <f>SUMPRODUCT(G29:G32,H29:H32)</f>
        <v>528000</v>
      </c>
      <c r="J28" s="77" t="s">
        <v>46</v>
      </c>
      <c r="K28" s="77"/>
    </row>
    <row r="29" spans="1:11" ht="15" customHeight="1">
      <c r="A29" s="26"/>
      <c r="B29" s="71" t="s">
        <v>49</v>
      </c>
      <c r="C29" s="72"/>
      <c r="D29" s="72"/>
      <c r="E29" s="72"/>
      <c r="F29" s="73"/>
      <c r="G29" s="13">
        <f>250000*1.6/200</f>
        <v>2000</v>
      </c>
      <c r="H29" s="29">
        <f>3*8*3</f>
        <v>72</v>
      </c>
      <c r="I29" s="13"/>
      <c r="J29" s="79" t="s">
        <v>61</v>
      </c>
      <c r="K29" s="79"/>
    </row>
    <row r="30" spans="1:11" ht="15" customHeight="1">
      <c r="A30" s="26"/>
      <c r="B30" s="71" t="s">
        <v>50</v>
      </c>
      <c r="C30" s="72"/>
      <c r="D30" s="72"/>
      <c r="E30" s="72"/>
      <c r="F30" s="73"/>
      <c r="G30" s="13">
        <f>200000*1.6/200</f>
        <v>1600</v>
      </c>
      <c r="H30" s="29">
        <f>7.5*8*3</f>
        <v>180</v>
      </c>
      <c r="I30" s="13"/>
      <c r="J30" s="79"/>
      <c r="K30" s="79"/>
    </row>
    <row r="31" spans="1:11" ht="15" customHeight="1">
      <c r="A31" s="26"/>
      <c r="B31" s="71" t="s">
        <v>51</v>
      </c>
      <c r="C31" s="72"/>
      <c r="D31" s="72"/>
      <c r="E31" s="72"/>
      <c r="F31" s="73"/>
      <c r="G31" s="13">
        <f>50000*1.6/200</f>
        <v>400</v>
      </c>
      <c r="H31" s="29">
        <v>120</v>
      </c>
      <c r="I31" s="13"/>
      <c r="J31" s="79"/>
      <c r="K31" s="79"/>
    </row>
    <row r="32" spans="1:11" ht="15" customHeight="1">
      <c r="A32" s="26"/>
      <c r="B32" s="71" t="s">
        <v>64</v>
      </c>
      <c r="C32" s="72"/>
      <c r="D32" s="72"/>
      <c r="E32" s="72"/>
      <c r="F32" s="73"/>
      <c r="G32" s="13">
        <f>50000*1.6/200</f>
        <v>400</v>
      </c>
      <c r="H32" s="29">
        <v>120</v>
      </c>
      <c r="I32" s="13"/>
      <c r="J32" s="79"/>
      <c r="K32" s="79"/>
    </row>
    <row r="33" spans="1:11" ht="15" customHeight="1">
      <c r="A33" s="23"/>
      <c r="B33" s="68" t="s">
        <v>53</v>
      </c>
      <c r="C33" s="69"/>
      <c r="D33" s="69"/>
      <c r="E33" s="69"/>
      <c r="F33" s="70"/>
      <c r="G33" s="13"/>
      <c r="H33" s="24"/>
      <c r="I33" s="13">
        <f>SUMPRODUCT(G34:G36,H34:H36)</f>
        <v>0</v>
      </c>
      <c r="J33" s="77" t="s">
        <v>52</v>
      </c>
      <c r="K33" s="77"/>
    </row>
    <row r="34" spans="1:11" ht="15" customHeight="1">
      <c r="A34" s="26"/>
      <c r="B34" s="71" t="s">
        <v>24</v>
      </c>
      <c r="C34" s="72"/>
      <c r="D34" s="72"/>
      <c r="E34" s="72"/>
      <c r="F34" s="73"/>
      <c r="G34" s="13"/>
      <c r="H34" s="26"/>
      <c r="I34" s="13"/>
      <c r="J34" s="84"/>
      <c r="K34" s="85"/>
    </row>
    <row r="35" spans="1:11" ht="15" customHeight="1">
      <c r="A35" s="26"/>
      <c r="B35" s="71" t="s">
        <v>22</v>
      </c>
      <c r="C35" s="72"/>
      <c r="D35" s="72"/>
      <c r="E35" s="72"/>
      <c r="F35" s="73"/>
      <c r="G35" s="13"/>
      <c r="H35" s="26"/>
      <c r="I35" s="13"/>
      <c r="J35" s="84"/>
      <c r="K35" s="85"/>
    </row>
    <row r="36" spans="1:11" ht="15" customHeight="1">
      <c r="A36" s="26"/>
      <c r="B36" s="71" t="s">
        <v>23</v>
      </c>
      <c r="C36" s="72"/>
      <c r="D36" s="72"/>
      <c r="E36" s="72"/>
      <c r="F36" s="73"/>
      <c r="G36" s="13"/>
      <c r="H36" s="26"/>
      <c r="I36" s="13"/>
      <c r="J36" s="84"/>
      <c r="K36" s="85"/>
    </row>
    <row r="37" spans="1:11" ht="26.25" customHeight="1">
      <c r="A37" s="30" t="s">
        <v>5</v>
      </c>
      <c r="B37" s="74" t="s">
        <v>43</v>
      </c>
      <c r="C37" s="75"/>
      <c r="D37" s="75"/>
      <c r="E37" s="75"/>
      <c r="F37" s="76"/>
      <c r="G37" s="13">
        <v>1600</v>
      </c>
      <c r="H37" s="25">
        <v>32</v>
      </c>
      <c r="I37" s="13">
        <f>G37*H37</f>
        <v>51200</v>
      </c>
      <c r="J37" s="79" t="str">
        <f>J29</f>
        <v>To be used in Future</v>
      </c>
      <c r="K37" s="79"/>
    </row>
    <row r="38" spans="1:11" ht="15" customHeight="1">
      <c r="A38" s="37">
        <v>1</v>
      </c>
      <c r="B38" s="74" t="s">
        <v>6</v>
      </c>
      <c r="C38" s="75"/>
      <c r="D38" s="75"/>
      <c r="E38" s="75"/>
      <c r="F38" s="76"/>
      <c r="G38" s="28"/>
      <c r="H38" s="28"/>
      <c r="I38" s="16">
        <f>I28+I33+I37</f>
        <v>579200</v>
      </c>
      <c r="J38" s="84"/>
      <c r="K38" s="85"/>
    </row>
    <row r="39" spans="1:11" ht="15" customHeight="1">
      <c r="A39" s="83" t="s">
        <v>62</v>
      </c>
      <c r="B39" s="83"/>
      <c r="C39" s="83"/>
      <c r="D39" s="83"/>
      <c r="E39" s="83"/>
      <c r="F39" s="83"/>
      <c r="G39" s="83"/>
      <c r="H39" s="83"/>
      <c r="I39" s="83"/>
      <c r="J39" s="83"/>
      <c r="K39" s="83"/>
    </row>
    <row r="40" spans="1:11" ht="15" customHeight="1">
      <c r="A40" s="26" t="s">
        <v>7</v>
      </c>
      <c r="B40" s="88" t="s">
        <v>8</v>
      </c>
      <c r="C40" s="89"/>
      <c r="D40" s="89"/>
      <c r="E40" s="89"/>
      <c r="F40" s="90"/>
      <c r="G40" s="28"/>
      <c r="H40" s="28"/>
      <c r="I40" s="38">
        <v>10000</v>
      </c>
      <c r="J40" s="84"/>
      <c r="K40" s="85"/>
    </row>
    <row r="41" spans="1:11" ht="15" customHeight="1">
      <c r="A41" s="26" t="s">
        <v>9</v>
      </c>
      <c r="B41" s="88" t="s">
        <v>10</v>
      </c>
      <c r="C41" s="89"/>
      <c r="D41" s="89"/>
      <c r="E41" s="89"/>
      <c r="F41" s="90"/>
      <c r="G41" s="28"/>
      <c r="H41" s="28"/>
      <c r="I41" s="38">
        <v>10000</v>
      </c>
      <c r="J41" s="84"/>
      <c r="K41" s="85"/>
    </row>
    <row r="42" spans="1:11" ht="15" customHeight="1">
      <c r="A42" s="26">
        <v>3</v>
      </c>
      <c r="B42" s="88" t="s">
        <v>11</v>
      </c>
      <c r="C42" s="89"/>
      <c r="D42" s="89"/>
      <c r="E42" s="89"/>
      <c r="F42" s="90"/>
      <c r="G42" s="28"/>
      <c r="H42" s="28"/>
      <c r="I42" s="38"/>
      <c r="J42" s="84"/>
      <c r="K42" s="85"/>
    </row>
    <row r="43" spans="1:11" ht="15" customHeight="1">
      <c r="A43" s="26">
        <v>4</v>
      </c>
      <c r="B43" s="88" t="s">
        <v>12</v>
      </c>
      <c r="C43" s="89"/>
      <c r="D43" s="89"/>
      <c r="E43" s="89"/>
      <c r="F43" s="90"/>
      <c r="G43" s="28"/>
      <c r="H43" s="28"/>
      <c r="I43" s="38">
        <v>10000</v>
      </c>
      <c r="J43" s="84"/>
      <c r="K43" s="85"/>
    </row>
    <row r="44" spans="1:11" ht="15" customHeight="1">
      <c r="A44" s="26">
        <v>5</v>
      </c>
      <c r="B44" s="88" t="s">
        <v>13</v>
      </c>
      <c r="C44" s="89"/>
      <c r="D44" s="89"/>
      <c r="E44" s="89"/>
      <c r="F44" s="90"/>
      <c r="G44" s="28"/>
      <c r="H44" s="28"/>
      <c r="I44" s="38">
        <v>10000</v>
      </c>
      <c r="J44" s="84"/>
      <c r="K44" s="85"/>
    </row>
    <row r="45" spans="1:11" ht="15" customHeight="1">
      <c r="A45" s="26" t="s">
        <v>14</v>
      </c>
      <c r="B45" s="27" t="s">
        <v>54</v>
      </c>
      <c r="C45" s="39"/>
      <c r="D45" s="40" t="s">
        <v>20</v>
      </c>
      <c r="E45" s="24" t="s">
        <v>21</v>
      </c>
      <c r="F45" s="28"/>
      <c r="G45" s="28"/>
      <c r="H45" s="28"/>
      <c r="I45" s="16">
        <f>SUMPRODUCT(D46:D48,E46:E48)</f>
        <v>0</v>
      </c>
      <c r="J45" s="77" t="s">
        <v>42</v>
      </c>
      <c r="K45" s="77"/>
    </row>
    <row r="46" spans="1:11" ht="15" customHeight="1">
      <c r="A46" s="26"/>
      <c r="B46" s="88" t="s">
        <v>24</v>
      </c>
      <c r="C46" s="89"/>
      <c r="D46" s="89"/>
      <c r="E46" s="89"/>
      <c r="F46" s="90"/>
      <c r="G46" s="28"/>
      <c r="H46" s="28"/>
      <c r="I46" s="28"/>
      <c r="J46" s="86"/>
      <c r="K46" s="87"/>
    </row>
    <row r="47" spans="1:11" ht="15" customHeight="1">
      <c r="A47" s="26"/>
      <c r="B47" s="88" t="s">
        <v>22</v>
      </c>
      <c r="C47" s="89"/>
      <c r="D47" s="89"/>
      <c r="E47" s="89"/>
      <c r="F47" s="90"/>
      <c r="G47" s="28"/>
      <c r="H47" s="28"/>
      <c r="I47" s="28"/>
      <c r="J47" s="86"/>
      <c r="K47" s="87"/>
    </row>
    <row r="48" spans="1:11" ht="15" customHeight="1">
      <c r="A48" s="26"/>
      <c r="B48" s="88" t="s">
        <v>23</v>
      </c>
      <c r="C48" s="89"/>
      <c r="D48" s="89"/>
      <c r="E48" s="89"/>
      <c r="F48" s="90"/>
      <c r="G48" s="28"/>
      <c r="H48" s="28"/>
      <c r="I48" s="28"/>
      <c r="J48" s="86"/>
      <c r="K48" s="87"/>
    </row>
    <row r="49" spans="1:11" ht="15" customHeight="1">
      <c r="A49" s="26" t="s">
        <v>15</v>
      </c>
      <c r="B49" s="88" t="s">
        <v>63</v>
      </c>
      <c r="C49" s="89"/>
      <c r="D49" s="89"/>
      <c r="E49" s="89"/>
      <c r="F49" s="90"/>
      <c r="G49" s="28"/>
      <c r="H49" s="28"/>
      <c r="I49" s="28"/>
      <c r="J49" s="86">
        <v>0</v>
      </c>
      <c r="K49" s="87"/>
    </row>
    <row r="50" spans="1:11" ht="15" customHeight="1">
      <c r="A50" s="26" t="s">
        <v>16</v>
      </c>
      <c r="B50" s="88" t="s">
        <v>26</v>
      </c>
      <c r="C50" s="89"/>
      <c r="D50" s="89"/>
      <c r="E50" s="89"/>
      <c r="F50" s="90"/>
      <c r="G50" s="28"/>
      <c r="H50" s="28"/>
      <c r="I50" s="28"/>
      <c r="J50" s="86"/>
      <c r="K50" s="87"/>
    </row>
    <row r="51" spans="1:11" ht="15" customHeight="1">
      <c r="A51" s="26" t="s">
        <v>29</v>
      </c>
      <c r="B51" s="88" t="s">
        <v>27</v>
      </c>
      <c r="C51" s="89"/>
      <c r="D51" s="89"/>
      <c r="E51" s="89"/>
      <c r="F51" s="90"/>
      <c r="G51" s="28"/>
      <c r="H51" s="28"/>
      <c r="I51" s="28"/>
      <c r="J51" s="86"/>
      <c r="K51" s="87"/>
    </row>
    <row r="52" spans="1:11" ht="15" customHeight="1">
      <c r="A52" s="26" t="s">
        <v>30</v>
      </c>
      <c r="B52" s="88" t="s">
        <v>28</v>
      </c>
      <c r="C52" s="89"/>
      <c r="D52" s="89"/>
      <c r="E52" s="89"/>
      <c r="F52" s="90"/>
      <c r="G52" s="28"/>
      <c r="H52" s="28"/>
      <c r="I52" s="28"/>
      <c r="J52" s="86"/>
      <c r="K52" s="87"/>
    </row>
    <row r="53" spans="1:11" ht="15" customHeight="1">
      <c r="A53" s="26">
        <v>7</v>
      </c>
      <c r="B53" s="88" t="s">
        <v>44</v>
      </c>
      <c r="C53" s="89"/>
      <c r="D53" s="89"/>
      <c r="E53" s="89"/>
      <c r="F53" s="90"/>
      <c r="G53" s="28"/>
      <c r="H53" s="28"/>
      <c r="I53" s="38">
        <v>100000</v>
      </c>
      <c r="J53" s="86"/>
      <c r="K53" s="87"/>
    </row>
    <row r="54" spans="1:11" ht="15" customHeight="1">
      <c r="A54" s="26">
        <v>8</v>
      </c>
      <c r="B54" s="88"/>
      <c r="C54" s="89"/>
      <c r="D54" s="89"/>
      <c r="E54" s="89"/>
      <c r="F54" s="90"/>
      <c r="G54" s="28"/>
      <c r="H54" s="28"/>
      <c r="I54" s="16"/>
      <c r="J54" s="86"/>
      <c r="K54" s="87"/>
    </row>
    <row r="55" spans="1:11" ht="15" customHeight="1">
      <c r="A55" s="37">
        <v>2</v>
      </c>
      <c r="B55" s="88" t="s">
        <v>45</v>
      </c>
      <c r="C55" s="89"/>
      <c r="D55" s="89"/>
      <c r="E55" s="89"/>
      <c r="F55" s="90"/>
      <c r="G55" s="28"/>
      <c r="H55" s="28"/>
      <c r="I55" s="16">
        <f>SUM(J40:J54)</f>
        <v>0</v>
      </c>
      <c r="J55" s="86"/>
      <c r="K55" s="87"/>
    </row>
    <row r="56" spans="1:11" ht="15" customHeight="1">
      <c r="A56" s="37" t="s">
        <v>41</v>
      </c>
      <c r="B56" s="88" t="s">
        <v>31</v>
      </c>
      <c r="C56" s="89"/>
      <c r="D56" s="89"/>
      <c r="E56" s="89"/>
      <c r="F56" s="90"/>
      <c r="G56" s="28"/>
      <c r="H56" s="28"/>
      <c r="I56" s="44">
        <f>I38+I55</f>
        <v>579200</v>
      </c>
      <c r="J56" s="86"/>
      <c r="K56" s="87"/>
    </row>
    <row r="57" spans="1:11" ht="30" customHeight="1">
      <c r="A57" s="26">
        <v>9</v>
      </c>
      <c r="B57" s="88" t="s">
        <v>17</v>
      </c>
      <c r="C57" s="89"/>
      <c r="D57" s="89"/>
      <c r="E57" s="89"/>
      <c r="F57" s="90"/>
      <c r="G57" s="28"/>
      <c r="H57" s="28"/>
      <c r="I57" s="44">
        <f>800000-I56</f>
        <v>220800</v>
      </c>
      <c r="J57" s="78" t="s">
        <v>61</v>
      </c>
      <c r="K57" s="78"/>
    </row>
    <row r="58" spans="1:11" ht="15" customHeight="1">
      <c r="A58" s="30">
        <v>10</v>
      </c>
      <c r="B58" s="88" t="s">
        <v>55</v>
      </c>
      <c r="C58" s="89"/>
      <c r="D58" s="89"/>
      <c r="E58" s="89"/>
      <c r="F58" s="90"/>
      <c r="G58" s="28"/>
      <c r="H58" s="28"/>
      <c r="I58" s="41">
        <f>I57+I56</f>
        <v>800000</v>
      </c>
      <c r="J58" s="86"/>
      <c r="K58" s="87"/>
    </row>
    <row r="59" spans="1:11" ht="26.25" customHeight="1">
      <c r="A59" s="26">
        <v>11</v>
      </c>
      <c r="B59" s="88" t="s">
        <v>81</v>
      </c>
      <c r="C59" s="89"/>
      <c r="D59" s="89">
        <v>0.14000000000000001</v>
      </c>
      <c r="E59" s="89"/>
      <c r="F59" s="90"/>
      <c r="G59" s="28"/>
      <c r="H59" s="28"/>
      <c r="I59" s="38">
        <f>I58*D59</f>
        <v>112000.00000000001</v>
      </c>
      <c r="J59" s="79" t="s">
        <v>56</v>
      </c>
      <c r="K59" s="79"/>
    </row>
    <row r="60" spans="1:11" ht="15" customHeight="1">
      <c r="A60" s="26">
        <v>12</v>
      </c>
      <c r="B60" s="88" t="s">
        <v>18</v>
      </c>
      <c r="C60" s="89"/>
      <c r="D60" s="89"/>
      <c r="E60" s="89"/>
      <c r="F60" s="90"/>
      <c r="G60" s="28"/>
      <c r="H60" s="28"/>
      <c r="I60" s="41">
        <f>I58+I59</f>
        <v>912000</v>
      </c>
      <c r="J60" s="86"/>
      <c r="K60" s="87"/>
    </row>
    <row r="61" spans="1:11">
      <c r="A61" s="1"/>
      <c r="B61" s="1"/>
      <c r="C61" s="1"/>
      <c r="D61" s="1"/>
      <c r="E61" s="1"/>
      <c r="F61" s="1"/>
      <c r="G61" s="1"/>
    </row>
    <row r="62" spans="1:11" s="22" customFormat="1">
      <c r="A62" s="5" t="s">
        <v>37</v>
      </c>
      <c r="B62" s="1"/>
      <c r="C62" s="1"/>
      <c r="D62" s="1"/>
      <c r="H62" s="5" t="s">
        <v>36</v>
      </c>
      <c r="I62" s="45"/>
      <c r="J62" s="45"/>
    </row>
    <row r="63" spans="1:11">
      <c r="A63" s="45"/>
      <c r="B63" s="45"/>
      <c r="C63" s="45"/>
      <c r="D63" s="1"/>
      <c r="H63" s="5" t="str">
        <f>IF(I62="INR",,"Conv Rate:")</f>
        <v>Conv Rate:</v>
      </c>
      <c r="I63" s="61"/>
      <c r="J63" s="61"/>
    </row>
    <row r="64" spans="1:11">
      <c r="A64" s="45"/>
      <c r="B64" s="45"/>
      <c r="C64" s="45"/>
      <c r="D64" s="1"/>
      <c r="H64" s="5"/>
      <c r="I64" s="61"/>
      <c r="J64" s="61"/>
    </row>
    <row r="65" spans="1:10">
      <c r="A65" s="47"/>
      <c r="B65" s="47"/>
      <c r="C65" s="47"/>
      <c r="D65" s="1"/>
      <c r="H65" s="5" t="s">
        <v>38</v>
      </c>
      <c r="I65" s="50"/>
      <c r="J65" s="50"/>
    </row>
    <row r="66" spans="1:10">
      <c r="A66" s="47"/>
      <c r="B66" s="47"/>
      <c r="C66" s="47"/>
      <c r="D66" s="1"/>
      <c r="H66" s="5" t="s">
        <v>39</v>
      </c>
      <c r="I66" s="50"/>
      <c r="J66" s="50"/>
    </row>
    <row r="67" spans="1:10">
      <c r="A67" s="47"/>
      <c r="B67" s="47"/>
      <c r="C67" s="47"/>
      <c r="D67" s="1"/>
      <c r="H67" s="5" t="s">
        <v>40</v>
      </c>
      <c r="I67" s="49"/>
      <c r="J67" s="47"/>
    </row>
    <row r="68" spans="1:10">
      <c r="A68" s="1"/>
      <c r="B68" s="1"/>
      <c r="C68" s="1"/>
      <c r="D68" s="1"/>
      <c r="E68" s="1"/>
      <c r="F68" s="1"/>
      <c r="G68" s="1"/>
    </row>
    <row r="69" spans="1:10">
      <c r="A69" s="5" t="s">
        <v>35</v>
      </c>
      <c r="B69" s="1"/>
      <c r="C69" s="45"/>
      <c r="D69" s="45"/>
      <c r="E69" s="45"/>
      <c r="F69" s="45"/>
      <c r="G69" s="45"/>
    </row>
    <row r="70" spans="1:10">
      <c r="A70" s="1"/>
      <c r="B70" s="1"/>
      <c r="C70" s="1"/>
      <c r="D70" s="1"/>
      <c r="E70" s="1"/>
      <c r="F70" s="1"/>
      <c r="G70" s="1"/>
    </row>
    <row r="71" spans="1:10" ht="13.5">
      <c r="A71" s="2" t="s">
        <v>57</v>
      </c>
      <c r="B71" s="1"/>
      <c r="C71" s="1"/>
      <c r="E71" s="5" t="s">
        <v>58</v>
      </c>
      <c r="G71" s="5" t="s">
        <v>59</v>
      </c>
      <c r="H71" s="1"/>
      <c r="I71" s="5" t="s">
        <v>60</v>
      </c>
    </row>
    <row r="72" spans="1:10" s="43" customFormat="1" ht="12.75" customHeight="1">
      <c r="A72" s="4" t="s">
        <v>32</v>
      </c>
      <c r="B72" s="67"/>
      <c r="C72" s="67"/>
      <c r="E72" s="4"/>
      <c r="G72" s="4"/>
      <c r="H72" s="6"/>
      <c r="I72" s="6"/>
    </row>
    <row r="73" spans="1:10">
      <c r="A73" s="1"/>
      <c r="B73" s="4"/>
      <c r="C73" s="4"/>
      <c r="D73" s="4"/>
      <c r="E73" s="4"/>
      <c r="F73" s="4"/>
      <c r="G73" s="4"/>
    </row>
    <row r="74" spans="1:10">
      <c r="A74" s="1" t="s">
        <v>33</v>
      </c>
      <c r="B74" s="45"/>
      <c r="C74" s="45"/>
      <c r="D74" s="3"/>
      <c r="E74" s="3"/>
      <c r="F74" s="48"/>
      <c r="G74" s="46"/>
    </row>
    <row r="75" spans="1:10" ht="20.25" customHeight="1">
      <c r="A75" s="1" t="s">
        <v>34</v>
      </c>
      <c r="B75" s="47"/>
      <c r="C75" s="47"/>
      <c r="D75" s="7"/>
      <c r="E75" s="7"/>
      <c r="F75" s="47"/>
      <c r="G75" s="47"/>
    </row>
    <row r="76" spans="1:10">
      <c r="A76" s="1"/>
      <c r="B76" s="1"/>
      <c r="C76" s="1"/>
      <c r="D76" s="1"/>
      <c r="E76" s="1"/>
      <c r="F76" s="1"/>
      <c r="G76" s="1"/>
    </row>
  </sheetData>
  <mergeCells count="92">
    <mergeCell ref="B60:F60"/>
    <mergeCell ref="B49:F49"/>
    <mergeCell ref="B50:F50"/>
    <mergeCell ref="B51:F51"/>
    <mergeCell ref="B52:F52"/>
    <mergeCell ref="B53:F53"/>
    <mergeCell ref="B54:F54"/>
    <mergeCell ref="B55:F55"/>
    <mergeCell ref="B56:F56"/>
    <mergeCell ref="B57:F57"/>
    <mergeCell ref="B58:F58"/>
    <mergeCell ref="B59:F59"/>
    <mergeCell ref="B42:F42"/>
    <mergeCell ref="B43:F43"/>
    <mergeCell ref="B44:F44"/>
    <mergeCell ref="B46:F46"/>
    <mergeCell ref="B47:F47"/>
    <mergeCell ref="B48:F48"/>
    <mergeCell ref="J54:K54"/>
    <mergeCell ref="J55:K55"/>
    <mergeCell ref="J56:K56"/>
    <mergeCell ref="J58:K58"/>
    <mergeCell ref="J60:K60"/>
    <mergeCell ref="B40:F40"/>
    <mergeCell ref="B41:F41"/>
    <mergeCell ref="J48:K48"/>
    <mergeCell ref="J49:K49"/>
    <mergeCell ref="J50:K50"/>
    <mergeCell ref="J51:K51"/>
    <mergeCell ref="J52:K52"/>
    <mergeCell ref="J53:K53"/>
    <mergeCell ref="J41:K41"/>
    <mergeCell ref="J42:K42"/>
    <mergeCell ref="J43:K43"/>
    <mergeCell ref="J44:K44"/>
    <mergeCell ref="J46:K46"/>
    <mergeCell ref="J47:K47"/>
    <mergeCell ref="J40:K40"/>
    <mergeCell ref="B38:F38"/>
    <mergeCell ref="J38:K38"/>
    <mergeCell ref="J36:K36"/>
    <mergeCell ref="J35:K35"/>
    <mergeCell ref="J34:K34"/>
    <mergeCell ref="J45:K45"/>
    <mergeCell ref="J57:K57"/>
    <mergeCell ref="J59:K59"/>
    <mergeCell ref="J26:K26"/>
    <mergeCell ref="B26:F26"/>
    <mergeCell ref="B28:F28"/>
    <mergeCell ref="B29:F29"/>
    <mergeCell ref="B30:F30"/>
    <mergeCell ref="B31:F31"/>
    <mergeCell ref="B32:F32"/>
    <mergeCell ref="A27:K27"/>
    <mergeCell ref="A39:K39"/>
    <mergeCell ref="J28:K28"/>
    <mergeCell ref="J29:K32"/>
    <mergeCell ref="J33:K33"/>
    <mergeCell ref="J37:K37"/>
    <mergeCell ref="B33:F33"/>
    <mergeCell ref="B34:F34"/>
    <mergeCell ref="B35:F35"/>
    <mergeCell ref="B36:F36"/>
    <mergeCell ref="B37:F37"/>
    <mergeCell ref="B75:C75"/>
    <mergeCell ref="F75:G75"/>
    <mergeCell ref="A18:K18"/>
    <mergeCell ref="A25:B25"/>
    <mergeCell ref="A21:B21"/>
    <mergeCell ref="C21:K21"/>
    <mergeCell ref="C25:E25"/>
    <mergeCell ref="A67:C67"/>
    <mergeCell ref="I67:J67"/>
    <mergeCell ref="C69:G69"/>
    <mergeCell ref="B72:C72"/>
    <mergeCell ref="B74:C74"/>
    <mergeCell ref="F74:G74"/>
    <mergeCell ref="I62:J62"/>
    <mergeCell ref="A63:C63"/>
    <mergeCell ref="A64:C64"/>
    <mergeCell ref="A65:C65"/>
    <mergeCell ref="I65:J65"/>
    <mergeCell ref="A66:C66"/>
    <mergeCell ref="I66:J66"/>
    <mergeCell ref="I63:J63"/>
    <mergeCell ref="I64:J64"/>
    <mergeCell ref="A24:B24"/>
    <mergeCell ref="A20:B20"/>
    <mergeCell ref="C20:K20"/>
    <mergeCell ref="A23:B23"/>
    <mergeCell ref="A22:B22"/>
    <mergeCell ref="C22:G22"/>
  </mergeCells>
  <phoneticPr fontId="7" type="noConversion"/>
  <dataValidations count="10">
    <dataValidation allowBlank="1" showErrorMessage="1" promptTitle="Employee Time Cost" prompt="Enter Employee Time Cost - either as total estimated or to calculate based on specific individuals, expand tab by clicking on '+' to the left of the row." sqref="J28"/>
    <dataValidation allowBlank="1" showInputMessage="1" showErrorMessage="1" promptTitle="Employee Time Cost" prompt="Enter Employee Time Cost - either as total estimated or to calculate based on specific individuals, expand tab by clicking on '+' to the left of the row." sqref="I28"/>
    <dataValidation allowBlank="1" showInputMessage="1" showErrorMessage="1" promptTitle="Profit Margin" prompt="PM is calculated if job fees (Row 10) is filled." sqref="J57"/>
    <dataValidation allowBlank="1" showInputMessage="1" showErrorMessage="1" promptTitle="Job Fee for IMS (INR)" prompt="Enter in INR by default. If job setup with client including service tax, please enter 'Fees incl. Service Tax' in INR Item 12. In that case, Job Fee for IMS would be calculated automatically using Service Tax Rate in Row 11." sqref="I58"/>
    <dataValidation allowBlank="1" showInputMessage="1" showErrorMessage="1" promptTitle="Service Tax Rate" prompt="If any other rate decided with client, enter that here and provide backup details in Remarks Column" sqref="J59 D59"/>
    <dataValidation allowBlank="1" showInputMessage="1" showErrorMessage="1" promptTitle="Currency" prompt="Enter Code of Currency used for working out cost proposal for client. i.e. currency in proposal submitted to client." sqref="I62:J62"/>
    <dataValidation allowBlank="1" showInputMessage="1" showErrorMessage="1" promptTitle="Stop" prompt="This is automatically calculated as:_x000a__x000a_=0.339*(Travel*5%+Subsistence*5%+Local Conveyance*20%+Communication*20%+Stationary/Printing*20%+Exp Contingencies*20%)" sqref="I54"/>
    <dataValidation allowBlank="1" showInputMessage="1" showErrorMessage="1" promptTitle="Outside Agency Cost" prompt="Enter Outside Agency/ Personnel Cost - either as total estimated or to calculate based on specific individuals, expand tab by clicking on '+' to the left of the row. This is part of ODC's." sqref="I45"/>
    <dataValidation allowBlank="1" showInputMessage="1" showErrorMessage="1" promptTitle="Stop" prompt="This is automatically calculated." sqref="I38 I55:I57"/>
    <dataValidation allowBlank="1" showInputMessage="1" showErrorMessage="1" promptTitle="Agency Time Cost" prompt="Enter Agency Personnel Time Cost - either as total estimated or to calculate based on specific individuals, expand tab by clicking on '+' to the left of the row." sqref="I33"/>
  </dataValidations>
  <pageMargins left="0.75" right="0.75" top="1" bottom="1" header="0.5" footer="0.5"/>
  <pageSetup paperSize="9" scale="62"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 Start Form</vt:lpstr>
    </vt:vector>
  </TitlesOfParts>
  <Company>MWH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vns</dc:creator>
  <cp:lastModifiedBy>Manasi_13122016_Comments</cp:lastModifiedBy>
  <cp:lastPrinted>2015-04-29T05:58:26Z</cp:lastPrinted>
  <dcterms:created xsi:type="dcterms:W3CDTF">2008-06-13T13:08:32Z</dcterms:created>
  <dcterms:modified xsi:type="dcterms:W3CDTF">2017-01-06T10:17:42Z</dcterms:modified>
</cp:coreProperties>
</file>