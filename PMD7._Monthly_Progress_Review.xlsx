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showInkAnnotation="0" codeName="ThisWorkbook" autoCompressPictures="0"/>
  <bookViews>
    <workbookView xWindow="0" yWindow="0" windowWidth="14640" windowHeight="7755"/>
  </bookViews>
  <sheets>
    <sheet name="Monthly PjM Report" sheetId="7" r:id="rId1"/>
  </sheets>
  <definedNames>
    <definedName name="_xlnm.Print_Area" localSheetId="0">'Monthly PjM Report'!$A$1:$I$109</definedName>
  </definedName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F40" i="7" l="1"/>
  <c r="F39" i="7"/>
  <c r="E56" i="7" l="1"/>
  <c r="E55" i="7"/>
  <c r="E54" i="7"/>
  <c r="E53" i="7"/>
  <c r="E52" i="7"/>
  <c r="E51" i="7"/>
  <c r="E50" i="7"/>
  <c r="A22" i="7"/>
  <c r="F41" i="7"/>
  <c r="F42" i="7"/>
  <c r="F43" i="7"/>
  <c r="F44" i="7"/>
  <c r="G45" i="7" l="1"/>
  <c r="E45" i="7"/>
  <c r="D45" i="7"/>
  <c r="F38" i="7" l="1"/>
  <c r="F45" i="7" l="1"/>
  <c r="G25" i="7"/>
  <c r="H25" i="7" s="1"/>
  <c r="D22" i="7" l="1"/>
  <c r="A25" i="7" l="1"/>
  <c r="D29" i="7" s="1"/>
  <c r="N37" i="7" s="1"/>
</calcChain>
</file>

<file path=xl/sharedStrings.xml><?xml version="1.0" encoding="utf-8"?>
<sst xmlns="http://schemas.openxmlformats.org/spreadsheetml/2006/main" count="193" uniqueCount="153">
  <si>
    <t>Process for Completion</t>
  </si>
  <si>
    <t>Contract Variation</t>
  </si>
  <si>
    <t>Staff</t>
  </si>
  <si>
    <t>% Complete on costs:</t>
  </si>
  <si>
    <t>SCHEDULE PERFORMANCE</t>
  </si>
  <si>
    <t>% Complete on EV (PPC):</t>
  </si>
  <si>
    <t>Cost</t>
  </si>
  <si>
    <t>Profit(%)</t>
  </si>
  <si>
    <t>SPI:</t>
  </si>
  <si>
    <t>Revenue/Fee</t>
  </si>
  <si>
    <t>H / M / L</t>
  </si>
  <si>
    <t>Original Budget</t>
  </si>
  <si>
    <t>Actual Costs / Costs to Complete</t>
  </si>
  <si>
    <t>Programme/Schedule</t>
  </si>
  <si>
    <t>Actions and Priorities</t>
  </si>
  <si>
    <t>Expected Completion Date:</t>
  </si>
  <si>
    <t>Proposed</t>
  </si>
  <si>
    <t>Submitted</t>
  </si>
  <si>
    <t>Approved</t>
  </si>
  <si>
    <t>Cont. Total</t>
  </si>
  <si>
    <t>Summary Details of Changes this month</t>
  </si>
  <si>
    <r>
      <t xml:space="preserve">Change Orders Summary </t>
    </r>
    <r>
      <rPr>
        <sz val="10"/>
        <rFont val="Arial"/>
        <family val="2"/>
      </rPr>
      <t>(compiled from Change Register)</t>
    </r>
  </si>
  <si>
    <t xml:space="preserve">     Contract       Insurance/Guarantees</t>
  </si>
  <si>
    <t>Resources        Oppts</t>
  </si>
  <si>
    <t>QA        HSE</t>
  </si>
  <si>
    <t>Actual Costs (AC) - InR in IMS</t>
  </si>
  <si>
    <t>Costs To Complete (CTC)</t>
  </si>
  <si>
    <r>
      <t xml:space="preserve">Total EAC </t>
    </r>
    <r>
      <rPr>
        <b/>
        <sz val="8"/>
        <rFont val="Verdana"/>
        <family val="2"/>
      </rPr>
      <t>Estimate At Completion</t>
    </r>
  </si>
  <si>
    <t>Gross Profit %</t>
  </si>
  <si>
    <t>Subtotal</t>
  </si>
  <si>
    <t>Current  Budget in IMS</t>
  </si>
  <si>
    <t xml:space="preserve">Cost </t>
  </si>
  <si>
    <t xml:space="preserve">Fee </t>
  </si>
  <si>
    <t>Issies, Risks, Early Warnings</t>
  </si>
  <si>
    <t>Financial Penalties specified in the Contract: %age (                                             ) Max. %age (                                                  )</t>
  </si>
  <si>
    <t>Actions from last month</t>
  </si>
  <si>
    <t>Date</t>
  </si>
  <si>
    <t>Comments</t>
  </si>
  <si>
    <t xml:space="preserve">Set realistic dates taking account of priorities 
(H - Immediately, M - within one week, L - within one month)
</t>
  </si>
  <si>
    <t>EVA will start mid-2008 for India and will be carried out for:-
- Fixed Fee (Lump Sum) and Fee Capped Projects
- Where project fee &gt; InR 160,000
       - and project duration &gt; 3 months
EVA is not required for seconded staff jobs</t>
  </si>
  <si>
    <t>Comment on any gains or slippage since last month. 
Explain and quantify any changes to overall expected completion date
Has an extension of time been sought or approved?</t>
  </si>
  <si>
    <t>If the contract allows imposition of penalties or liquidated damages, state rate of penalty and state maximum limit (Rupees or %) 
Highlight any issues that have arisen this month or risks that could have an impact on Project Finance, Schedule, Resources or Quality in the future.
Provide update on previously noted risks/opportunities
The list of items to consider is a only a suggestion based on the most commonly arising ones – consider any other issues that should be noted for this project.</t>
  </si>
  <si>
    <t>Report on actions from previous months - comment on outstanding actions</t>
  </si>
  <si>
    <t>ODCs</t>
  </si>
  <si>
    <t xml:space="preserve">Miletsone </t>
  </si>
  <si>
    <t>Achieved Date</t>
  </si>
  <si>
    <t>Payment due Rs.</t>
  </si>
  <si>
    <t>Payment Received Date</t>
  </si>
  <si>
    <t xml:space="preserve">1. Actual Costs reported in system
2. Costs accrued but not in system to date must be included in total EAC 
3. Take account of provisions to compare EBBIT
</t>
  </si>
  <si>
    <t xml:space="preserve">Milestones </t>
  </si>
  <si>
    <t xml:space="preserve">Add all the milestones as per contract </t>
  </si>
  <si>
    <t xml:space="preserve">Add dates of submittals </t>
  </si>
  <si>
    <t xml:space="preserve">Add payment details as project progress on monthly basis </t>
  </si>
  <si>
    <t>Variation</t>
  </si>
  <si>
    <t>Reason why current projected schedule, ODCs  differs from original budget, or from recent re-forecast</t>
  </si>
  <si>
    <t>Issues, Risks, Early Warnings</t>
  </si>
  <si>
    <t>Balance</t>
  </si>
  <si>
    <t>Total</t>
  </si>
  <si>
    <t>Service Tax</t>
  </si>
  <si>
    <t>Net</t>
  </si>
  <si>
    <t>Fees</t>
  </si>
  <si>
    <t>Budget Costs</t>
  </si>
  <si>
    <t>Contract Type</t>
  </si>
  <si>
    <t>Sub Total</t>
  </si>
  <si>
    <t>Lumpsum</t>
  </si>
  <si>
    <t>T &amp; E</t>
  </si>
  <si>
    <t xml:space="preserve">% </t>
  </si>
  <si>
    <r>
      <t xml:space="preserve">Any </t>
    </r>
    <r>
      <rPr>
        <b/>
        <sz val="10"/>
        <rFont val="Verdana"/>
        <family val="2"/>
      </rPr>
      <t>Accruals</t>
    </r>
    <r>
      <rPr>
        <b/>
        <sz val="9"/>
        <rFont val="Verdana"/>
        <family val="2"/>
      </rPr>
      <t xml:space="preserve"> </t>
    </r>
    <r>
      <rPr>
        <b/>
        <sz val="8"/>
        <rFont val="Verdana"/>
        <family val="2"/>
      </rPr>
      <t>not in system</t>
    </r>
  </si>
  <si>
    <r>
      <t>Earned Value</t>
    </r>
    <r>
      <rPr>
        <sz val="10"/>
        <rFont val="Arial"/>
        <family val="2"/>
      </rPr>
      <t xml:space="preserve"> data from EVA Spreadsheet</t>
    </r>
  </si>
  <si>
    <t>Work Assignment</t>
  </si>
  <si>
    <t xml:space="preserve">Assignee </t>
  </si>
  <si>
    <t xml:space="preserve">Effort in Mandays </t>
  </si>
  <si>
    <t xml:space="preserve">Planned </t>
  </si>
  <si>
    <t xml:space="preserve">Consumed </t>
  </si>
  <si>
    <t xml:space="preserve">Next Month's Planning </t>
  </si>
  <si>
    <t>Invoice date</t>
  </si>
  <si>
    <t>Comments / Issues on  Milestone / payment</t>
  </si>
  <si>
    <t>Add more milestones if required</t>
  </si>
  <si>
    <t>NIL</t>
  </si>
  <si>
    <t>Please mention as applicable</t>
  </si>
  <si>
    <r>
      <t xml:space="preserve">    Client Feedback/Rltnshp       </t>
    </r>
    <r>
      <rPr>
        <sz val="11"/>
        <rFont val="Arial Narrow"/>
        <family val="2"/>
      </rPr>
      <t>Inflation</t>
    </r>
  </si>
  <si>
    <t>Add planned payment details</t>
  </si>
  <si>
    <t>Summarise change and detail this month's new scope changes
Note any status change (provisional, submitted to Client, Approved). 
Budget Fee cannot be revised until change approved by Client.</t>
  </si>
  <si>
    <t>MB, MP, VV</t>
  </si>
  <si>
    <t>Inception Report</t>
  </si>
  <si>
    <r>
      <t xml:space="preserve">Programme / Schedule </t>
    </r>
    <r>
      <rPr>
        <sz val="10"/>
        <rFont val="Arial"/>
        <family val="2"/>
      </rPr>
      <t>(                  Delays        Holds         Deviations this month):</t>
    </r>
  </si>
  <si>
    <t>MANPOWER PLANNED FOR REMAINING WORKS</t>
  </si>
  <si>
    <t>PROGRESS REVIEW FOR DELIVERABLES</t>
  </si>
  <si>
    <t>Due date as per contract</t>
  </si>
  <si>
    <t>Due date as planned</t>
  </si>
  <si>
    <t xml:space="preserve">Actions and Priorities for this month:  </t>
  </si>
  <si>
    <t>Yes</t>
  </si>
  <si>
    <t>MB, MP, VV, FR</t>
  </si>
  <si>
    <t>Completion Date as per contract:</t>
  </si>
  <si>
    <t>Completion Date as per extension:</t>
  </si>
  <si>
    <t>-</t>
  </si>
  <si>
    <t>Detailed Project Report</t>
  </si>
  <si>
    <t>Draft Tender Doc</t>
  </si>
  <si>
    <t>Tender Evaluation Report</t>
  </si>
  <si>
    <t>Date of issue of WO/LOI:</t>
  </si>
  <si>
    <t>Topographical Survey</t>
  </si>
  <si>
    <t>Geotechnical Survey</t>
  </si>
  <si>
    <t>Hydraulic Modelling</t>
  </si>
  <si>
    <t>Draft DDR</t>
  </si>
  <si>
    <t>Final DDR</t>
  </si>
  <si>
    <t>Draft Tender docs</t>
  </si>
  <si>
    <t>Final Tender docs</t>
  </si>
  <si>
    <t>Tender Evaluation and Award of work</t>
  </si>
  <si>
    <t>Lavisha Surveyor</t>
  </si>
  <si>
    <t>04.03.2014</t>
  </si>
  <si>
    <t>4.15.2014</t>
  </si>
  <si>
    <t>20.03.2014</t>
  </si>
  <si>
    <t>30.05.2014</t>
  </si>
  <si>
    <t>30.06.2014</t>
  </si>
  <si>
    <t>15.07.2014</t>
  </si>
  <si>
    <t>1.08.2014</t>
  </si>
  <si>
    <t>Mid Mar 15</t>
  </si>
  <si>
    <t>Payment is not received against invoice.</t>
  </si>
  <si>
    <t>Part A</t>
  </si>
  <si>
    <t>Advance payment</t>
  </si>
  <si>
    <t>Submission of estimate, bill of quantities, specifications, drawings</t>
  </si>
  <si>
    <t>Completion of construction work</t>
  </si>
  <si>
    <t>Survey is done by Surveyor by Oct 2014</t>
  </si>
  <si>
    <t>Survey is done by Surveyor by Apr 2015</t>
  </si>
  <si>
    <t>Hydrualic Modelling is completed and L-sections are submitted to client on Feb 2015</t>
  </si>
  <si>
    <t>Draft DDR is submitted on June 2014</t>
  </si>
  <si>
    <t>Final DDR is submitted on Feb 2015.</t>
  </si>
  <si>
    <t>Draft tender documents are submitted on Feb 2015</t>
  </si>
  <si>
    <t>SKW Surveyor</t>
  </si>
  <si>
    <t>2. Site visits with MCGM for slum sanitation schemes</t>
  </si>
  <si>
    <t>1. Meetings with MCGM for finalization of techniques of execution</t>
  </si>
  <si>
    <t>1. Cost comparison to be submitted to MCGM for various techniques</t>
  </si>
  <si>
    <t>2. Re-doing the final detailed project report and finalization of tenders</t>
  </si>
  <si>
    <t>31.12.2015</t>
  </si>
  <si>
    <t>MCGM to finalize packaging and technology options</t>
  </si>
  <si>
    <t>1. Delays caused due to lack of permission for geotech in monsoons</t>
  </si>
  <si>
    <t>2. Discussions with various stakeholderss within or outside client organization</t>
  </si>
  <si>
    <t>1. Payment has not been received from MCGM for two which have been raised invoices</t>
  </si>
  <si>
    <t>3. Chasing to payment of invoices raised</t>
  </si>
  <si>
    <t>H</t>
  </si>
  <si>
    <t>Project Title</t>
  </si>
  <si>
    <t>Project Detail</t>
  </si>
  <si>
    <t>Client</t>
  </si>
  <si>
    <t>PM</t>
  </si>
  <si>
    <t>Office</t>
  </si>
  <si>
    <t>Type of Job</t>
  </si>
  <si>
    <t>Sector</t>
  </si>
  <si>
    <t>SPM</t>
  </si>
  <si>
    <t>Region</t>
  </si>
  <si>
    <t>Review No</t>
  </si>
  <si>
    <t>Review Month</t>
  </si>
  <si>
    <t>Project Number</t>
  </si>
  <si>
    <t xml:space="preserve">Monthly Progress Review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</si>
</sst>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 #,##0_-;_-* &quot;-&quot;_-;_-@_-"/>
    <numFmt numFmtId="167" formatCode="_-* #,##0.00_-;\-* #,##0.00_-;_-* &quot;-&quot;??_-;_-@_-"/>
    <numFmt numFmtId="168" formatCode="_-&quot;$&quot;* #,##0.00_-;\-&quot;$&quot;* #,##0.00_-;_-&quot;$&quot;* &quot;-&quot;??_-;_-@_-"/>
    <numFmt numFmtId="169" formatCode="0.0%"/>
    <numFmt numFmtId="170" formatCode="_-* #,##0_-;\-* #,##0_-;_-* &quot;-&quot;??_-;_-@_-"/>
  </numFmts>
  <fonts count="22" x14ac:knownFonts="1">
    <font>
      <sz val="10"/>
      <name val="Arial"/>
    </font>
    <font>
      <sz val="10"/>
      <name val="Arial"/>
      <family val="2"/>
    </font>
    <font>
      <b/>
      <sz val="10"/>
      <name val="Arial"/>
      <family val="2"/>
    </font>
    <font>
      <b/>
      <sz val="10"/>
      <name val="Verdana"/>
      <family val="2"/>
    </font>
    <font>
      <sz val="10"/>
      <name val="Arial"/>
      <family val="2"/>
    </font>
    <font>
      <b/>
      <sz val="13"/>
      <name val="Arial"/>
      <family val="2"/>
    </font>
    <font>
      <sz val="13"/>
      <name val="Arial"/>
      <family val="2"/>
    </font>
    <font>
      <b/>
      <sz val="10"/>
      <color indexed="10"/>
      <name val="Arial"/>
      <family val="2"/>
    </font>
    <font>
      <sz val="12"/>
      <name val="Arial"/>
      <family val="2"/>
    </font>
    <font>
      <b/>
      <sz val="9"/>
      <name val="Arial"/>
      <family val="2"/>
    </font>
    <font>
      <b/>
      <sz val="8"/>
      <name val="Verdana"/>
      <family val="2"/>
    </font>
    <font>
      <b/>
      <sz val="9"/>
      <name val="Verdana"/>
      <family val="2"/>
    </font>
    <font>
      <sz val="11"/>
      <name val="Arial Narrow"/>
      <family val="2"/>
    </font>
    <font>
      <sz val="10"/>
      <name val="Arial"/>
      <family val="2"/>
    </font>
    <font>
      <i/>
      <sz val="10"/>
      <name val="Arial"/>
      <family val="2"/>
    </font>
    <font>
      <sz val="10"/>
      <color theme="0"/>
      <name val="Arial"/>
      <family val="2"/>
    </font>
    <font>
      <b/>
      <sz val="10"/>
      <color theme="0"/>
      <name val="Arial"/>
      <family val="2"/>
    </font>
    <font>
      <b/>
      <sz val="10"/>
      <name val="Times New Roman"/>
      <family val="1"/>
    </font>
    <font>
      <sz val="10"/>
      <name val="Times New Roman"/>
      <family val="1"/>
    </font>
    <font>
      <sz val="10"/>
      <color theme="1"/>
      <name val="Times New Roman"/>
      <family val="1"/>
    </font>
    <font>
      <b/>
      <sz val="14"/>
      <name val="Times New Roman"/>
      <family val="1"/>
    </font>
    <font>
      <b/>
      <sz val="16"/>
      <color theme="1"/>
      <name val="Times New Roman"/>
      <family val="1"/>
    </font>
  </fonts>
  <fills count="11">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13"/>
        <bgColor indexed="64"/>
      </patternFill>
    </fill>
    <fill>
      <patternFill patternType="solid">
        <fgColor indexed="31"/>
        <bgColor indexed="64"/>
      </patternFill>
    </fill>
    <fill>
      <patternFill patternType="solid">
        <fgColor rgb="FFC00000"/>
        <bgColor indexed="64"/>
      </patternFill>
    </fill>
    <fill>
      <patternFill patternType="solid">
        <fgColor theme="6" tint="0.59999389629810485"/>
        <bgColor indexed="64"/>
      </patternFill>
    </fill>
    <fill>
      <patternFill patternType="solid">
        <fgColor theme="0"/>
        <bgColor indexed="64"/>
      </patternFill>
    </fill>
    <fill>
      <patternFill patternType="solid">
        <fgColor indexed="44"/>
        <bgColor indexed="64"/>
      </patternFill>
    </fill>
    <fill>
      <patternFill patternType="solid">
        <fgColor theme="9" tint="0.79998168889431442"/>
        <bgColor indexed="64"/>
      </patternFill>
    </fill>
  </fills>
  <borders count="40">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right/>
      <top style="medium">
        <color auto="1"/>
      </top>
      <bottom style="thin">
        <color auto="1"/>
      </bottom>
      <diagonal/>
    </border>
    <border>
      <left/>
      <right style="thin">
        <color auto="1"/>
      </right>
      <top style="thin">
        <color auto="1"/>
      </top>
      <bottom/>
      <diagonal/>
    </border>
    <border>
      <left/>
      <right/>
      <top/>
      <bottom style="medium">
        <color auto="1"/>
      </bottom>
      <diagonal/>
    </border>
    <border>
      <left/>
      <right/>
      <top style="thin">
        <color auto="1"/>
      </top>
      <bottom/>
      <diagonal/>
    </border>
    <border>
      <left style="thin">
        <color auto="1"/>
      </left>
      <right/>
      <top/>
      <bottom style="medium">
        <color auto="1"/>
      </bottom>
      <diagonal/>
    </border>
    <border>
      <left style="thin">
        <color auto="1"/>
      </left>
      <right/>
      <top style="medium">
        <color auto="1"/>
      </top>
      <bottom style="thin">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diagonal/>
    </border>
    <border>
      <left/>
      <right style="thin">
        <color auto="1"/>
      </right>
      <top style="hair">
        <color auto="1"/>
      </top>
      <bottom/>
      <diagonal/>
    </border>
    <border>
      <left style="thin">
        <color auto="1"/>
      </left>
      <right/>
      <top style="hair">
        <color auto="1"/>
      </top>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medium">
        <color auto="1"/>
      </top>
      <bottom/>
      <diagonal/>
    </border>
    <border>
      <left/>
      <right style="thin">
        <color auto="1"/>
      </right>
      <top/>
      <bottom style="thin">
        <color auto="1"/>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bottom/>
      <diagonal/>
    </border>
    <border>
      <left style="thin">
        <color indexed="64"/>
      </left>
      <right/>
      <top/>
      <bottom style="thin">
        <color auto="1"/>
      </bottom>
      <diagonal/>
    </border>
    <border>
      <left style="thin">
        <color indexed="64"/>
      </left>
      <right/>
      <top style="thin">
        <color auto="1"/>
      </top>
      <bottom/>
      <diagonal/>
    </border>
    <border>
      <left style="thin">
        <color indexed="64"/>
      </left>
      <right/>
      <top style="medium">
        <color auto="1"/>
      </top>
      <bottom/>
      <diagonal/>
    </border>
    <border>
      <left/>
      <right style="thin">
        <color indexed="64"/>
      </right>
      <top/>
      <bottom style="medium">
        <color auto="1"/>
      </bottom>
      <diagonal/>
    </border>
    <border>
      <left/>
      <right style="thin">
        <color indexed="64"/>
      </right>
      <top/>
      <bottom style="hair">
        <color auto="1"/>
      </bottom>
      <diagonal/>
    </border>
  </borders>
  <cellStyleXfs count="10">
    <xf numFmtId="0" fontId="0" fillId="0" borderId="0"/>
    <xf numFmtId="167" fontId="1" fillId="0" borderId="0" applyFont="0" applyFill="0" applyBorder="0" applyAlignment="0" applyProtection="0"/>
    <xf numFmtId="167" fontId="13"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8" fontId="1" fillId="0" borderId="0" applyFont="0" applyFill="0" applyBorder="0" applyAlignment="0" applyProtection="0"/>
    <xf numFmtId="164" fontId="1" fillId="0" borderId="0" applyFont="0" applyFill="0" applyBorder="0" applyAlignment="0" applyProtection="0"/>
    <xf numFmtId="0" fontId="4" fillId="0" borderId="0"/>
    <xf numFmtId="9" fontId="1" fillId="0" borderId="0" applyFont="0" applyFill="0" applyBorder="0" applyAlignment="0" applyProtection="0"/>
    <xf numFmtId="0" fontId="1" fillId="0" borderId="0"/>
  </cellStyleXfs>
  <cellXfs count="254">
    <xf numFmtId="0" fontId="0" fillId="0" borderId="0" xfId="0"/>
    <xf numFmtId="0" fontId="1" fillId="0" borderId="0" xfId="9"/>
    <xf numFmtId="0" fontId="1" fillId="5" borderId="6" xfId="9" applyFill="1" applyBorder="1"/>
    <xf numFmtId="0" fontId="1" fillId="0" borderId="0" xfId="9" applyFill="1"/>
    <xf numFmtId="0" fontId="1" fillId="7" borderId="6" xfId="9" applyFill="1" applyBorder="1"/>
    <xf numFmtId="0" fontId="1" fillId="6" borderId="6" xfId="9" applyFill="1" applyBorder="1"/>
    <xf numFmtId="0" fontId="1" fillId="0" borderId="6" xfId="9" applyBorder="1"/>
    <xf numFmtId="0" fontId="1" fillId="0" borderId="0" xfId="9" applyBorder="1"/>
    <xf numFmtId="0" fontId="1" fillId="2" borderId="5" xfId="9" applyFill="1" applyBorder="1"/>
    <xf numFmtId="0" fontId="1" fillId="2" borderId="1" xfId="9" applyFill="1" applyBorder="1"/>
    <xf numFmtId="0" fontId="2" fillId="0" borderId="5" xfId="9" applyFont="1" applyFill="1" applyBorder="1" applyAlignment="1">
      <alignment horizontal="center"/>
    </xf>
    <xf numFmtId="0" fontId="2" fillId="6" borderId="6" xfId="9" applyFont="1" applyFill="1" applyBorder="1" applyAlignment="1">
      <alignment horizontal="center"/>
    </xf>
    <xf numFmtId="0" fontId="1" fillId="2" borderId="0" xfId="9" applyFill="1" applyBorder="1"/>
    <xf numFmtId="0" fontId="2" fillId="2" borderId="6" xfId="9" applyFont="1" applyFill="1" applyBorder="1"/>
    <xf numFmtId="166" fontId="1" fillId="6" borderId="6" xfId="9" applyNumberFormat="1" applyFill="1" applyBorder="1"/>
    <xf numFmtId="169" fontId="1" fillId="6" borderId="6" xfId="8" applyNumberFormat="1" applyFont="1" applyFill="1" applyBorder="1"/>
    <xf numFmtId="0" fontId="1" fillId="2" borderId="6" xfId="9" applyFill="1" applyBorder="1"/>
    <xf numFmtId="170" fontId="1" fillId="6" borderId="6" xfId="1" applyNumberFormat="1" applyFont="1" applyFill="1" applyBorder="1"/>
    <xf numFmtId="0" fontId="2" fillId="0" borderId="6" xfId="9" applyFont="1" applyBorder="1"/>
    <xf numFmtId="166" fontId="1" fillId="0" borderId="0" xfId="9" applyNumberFormat="1"/>
    <xf numFmtId="10" fontId="1" fillId="6" borderId="6" xfId="8" applyNumberFormat="1" applyFont="1" applyFill="1" applyBorder="1"/>
    <xf numFmtId="0" fontId="2" fillId="6" borderId="6" xfId="9" applyFont="1" applyFill="1" applyBorder="1"/>
    <xf numFmtId="0" fontId="2" fillId="2" borderId="0" xfId="9" applyFont="1" applyFill="1" applyBorder="1"/>
    <xf numFmtId="10" fontId="15" fillId="8" borderId="0" xfId="8" applyNumberFormat="1" applyFont="1" applyFill="1" applyBorder="1"/>
    <xf numFmtId="0" fontId="16" fillId="8" borderId="0" xfId="9" applyFont="1" applyFill="1" applyBorder="1"/>
    <xf numFmtId="167" fontId="15" fillId="8" borderId="0" xfId="9" applyNumberFormat="1" applyFont="1" applyFill="1" applyBorder="1"/>
    <xf numFmtId="0" fontId="15" fillId="8" borderId="0" xfId="9" applyFont="1" applyFill="1" applyBorder="1"/>
    <xf numFmtId="0" fontId="1" fillId="6" borderId="0" xfId="9" applyFill="1" applyBorder="1" applyAlignment="1"/>
    <xf numFmtId="10" fontId="1" fillId="8" borderId="0" xfId="8" applyNumberFormat="1" applyFont="1" applyFill="1" applyBorder="1"/>
    <xf numFmtId="0" fontId="2" fillId="8" borderId="0" xfId="9" applyFont="1" applyFill="1" applyBorder="1"/>
    <xf numFmtId="167" fontId="1" fillId="8" borderId="0" xfId="9" applyNumberFormat="1" applyFill="1" applyBorder="1"/>
    <xf numFmtId="0" fontId="1" fillId="8" borderId="0" xfId="9" applyFill="1" applyBorder="1"/>
    <xf numFmtId="0" fontId="1" fillId="0" borderId="6" xfId="9" applyFont="1" applyBorder="1" applyAlignment="1">
      <alignment horizontal="center" vertical="top"/>
    </xf>
    <xf numFmtId="10" fontId="1" fillId="8" borderId="6" xfId="8" applyNumberFormat="1" applyFont="1" applyFill="1" applyBorder="1" applyAlignment="1">
      <alignment horizontal="center" vertical="top"/>
    </xf>
    <xf numFmtId="0" fontId="1" fillId="8" borderId="6" xfId="9" applyFont="1" applyFill="1" applyBorder="1" applyAlignment="1">
      <alignment horizontal="center" vertical="top"/>
    </xf>
    <xf numFmtId="167" fontId="1" fillId="8" borderId="6" xfId="9" applyNumberFormat="1" applyFont="1" applyFill="1" applyBorder="1" applyAlignment="1">
      <alignment horizontal="center" vertical="top" wrapText="1"/>
    </xf>
    <xf numFmtId="0" fontId="1" fillId="6" borderId="0" xfId="9" applyFill="1" applyBorder="1" applyAlignment="1">
      <alignment vertical="top"/>
    </xf>
    <xf numFmtId="0" fontId="1" fillId="0" borderId="0" xfId="9" applyAlignment="1">
      <alignment vertical="top"/>
    </xf>
    <xf numFmtId="0" fontId="2" fillId="8" borderId="6" xfId="9" applyFont="1" applyFill="1" applyBorder="1" applyAlignment="1">
      <alignment vertical="top" wrapText="1"/>
    </xf>
    <xf numFmtId="0" fontId="2" fillId="0" borderId="6" xfId="9" applyFont="1" applyBorder="1" applyAlignment="1">
      <alignment vertical="top" wrapText="1"/>
    </xf>
    <xf numFmtId="0" fontId="2" fillId="0" borderId="6" xfId="9" applyFont="1" applyFill="1" applyBorder="1" applyAlignment="1">
      <alignment horizontal="left" vertical="top" wrapText="1"/>
    </xf>
    <xf numFmtId="0" fontId="2" fillId="4" borderId="6" xfId="9" applyFont="1" applyFill="1" applyBorder="1" applyAlignment="1">
      <alignment horizontal="center" vertical="top"/>
    </xf>
    <xf numFmtId="0" fontId="1" fillId="3" borderId="8" xfId="9" applyFont="1" applyFill="1" applyBorder="1"/>
    <xf numFmtId="0" fontId="1" fillId="3" borderId="5" xfId="9" applyFont="1" applyFill="1" applyBorder="1"/>
    <xf numFmtId="0" fontId="1" fillId="3" borderId="5" xfId="9" applyFill="1" applyBorder="1"/>
    <xf numFmtId="0" fontId="1" fillId="2" borderId="7" xfId="9" applyFill="1" applyBorder="1"/>
    <xf numFmtId="0" fontId="2" fillId="2" borderId="4" xfId="9" applyFont="1" applyFill="1" applyBorder="1"/>
    <xf numFmtId="0" fontId="1" fillId="2" borderId="4" xfId="9" applyFill="1" applyBorder="1"/>
    <xf numFmtId="0" fontId="1" fillId="2" borderId="17" xfId="9" applyFill="1" applyBorder="1"/>
    <xf numFmtId="0" fontId="2" fillId="4" borderId="8" xfId="9" applyFont="1" applyFill="1" applyBorder="1" applyAlignment="1">
      <alignment horizontal="center"/>
    </xf>
    <xf numFmtId="0" fontId="2" fillId="0" borderId="6" xfId="9" applyFont="1" applyFill="1" applyBorder="1" applyAlignment="1">
      <alignment horizontal="left"/>
    </xf>
    <xf numFmtId="0" fontId="1" fillId="0" borderId="6" xfId="9" applyFont="1" applyFill="1" applyBorder="1" applyAlignment="1">
      <alignment horizontal="left"/>
    </xf>
    <xf numFmtId="0" fontId="2" fillId="7" borderId="10" xfId="9" applyFont="1" applyFill="1" applyBorder="1"/>
    <xf numFmtId="0" fontId="1" fillId="7" borderId="10" xfId="9" applyFill="1" applyBorder="1"/>
    <xf numFmtId="0" fontId="1" fillId="0" borderId="7" xfId="9" applyBorder="1"/>
    <xf numFmtId="0" fontId="2" fillId="2" borderId="14" xfId="9" applyFont="1" applyFill="1" applyBorder="1"/>
    <xf numFmtId="0" fontId="1" fillId="2" borderId="14" xfId="9" applyFill="1" applyBorder="1"/>
    <xf numFmtId="0" fontId="1" fillId="8" borderId="1" xfId="9" applyFont="1" applyFill="1" applyBorder="1"/>
    <xf numFmtId="0" fontId="1" fillId="8" borderId="1" xfId="9" applyFill="1" applyBorder="1"/>
    <xf numFmtId="0" fontId="8" fillId="7" borderId="4" xfId="9" applyFont="1" applyFill="1" applyBorder="1"/>
    <xf numFmtId="0" fontId="1" fillId="7" borderId="4" xfId="9" applyFill="1" applyBorder="1"/>
    <xf numFmtId="0" fontId="1" fillId="7" borderId="1" xfId="9" applyFont="1" applyFill="1" applyBorder="1"/>
    <xf numFmtId="0" fontId="2" fillId="2" borderId="10" xfId="9" applyFont="1" applyFill="1" applyBorder="1"/>
    <xf numFmtId="0" fontId="1" fillId="2" borderId="10" xfId="9" applyFill="1" applyBorder="1"/>
    <xf numFmtId="0" fontId="2" fillId="0" borderId="12" xfId="9" applyFont="1" applyBorder="1" applyAlignment="1">
      <alignment vertical="center"/>
    </xf>
    <xf numFmtId="0" fontId="2" fillId="0" borderId="19" xfId="9" applyFont="1" applyFill="1" applyBorder="1" applyAlignment="1">
      <alignment horizontal="center" vertical="center"/>
    </xf>
    <xf numFmtId="0" fontId="1" fillId="7" borderId="21" xfId="9" applyFont="1" applyFill="1" applyBorder="1" applyAlignment="1">
      <alignment vertical="center"/>
    </xf>
    <xf numFmtId="0" fontId="1" fillId="7" borderId="20" xfId="9" applyFill="1" applyBorder="1" applyAlignment="1">
      <alignment vertical="center"/>
    </xf>
    <xf numFmtId="0" fontId="1" fillId="7" borderId="21" xfId="9" applyFill="1" applyBorder="1" applyAlignment="1">
      <alignment vertical="center"/>
    </xf>
    <xf numFmtId="0" fontId="1" fillId="7" borderId="22" xfId="9" applyFill="1" applyBorder="1" applyAlignment="1">
      <alignment horizontal="left" vertical="center"/>
    </xf>
    <xf numFmtId="0" fontId="1" fillId="7" borderId="20" xfId="9" applyFill="1" applyBorder="1" applyAlignment="1">
      <alignment horizontal="left" vertical="center"/>
    </xf>
    <xf numFmtId="0" fontId="1" fillId="7" borderId="23" xfId="9" applyFill="1" applyBorder="1" applyAlignment="1">
      <alignment vertical="center"/>
    </xf>
    <xf numFmtId="0" fontId="1" fillId="7" borderId="24" xfId="9" applyFill="1" applyBorder="1" applyAlignment="1">
      <alignment vertical="center"/>
    </xf>
    <xf numFmtId="0" fontId="1" fillId="7" borderId="24" xfId="9" applyFont="1" applyFill="1" applyBorder="1" applyAlignment="1">
      <alignment vertical="center"/>
    </xf>
    <xf numFmtId="0" fontId="1" fillId="7" borderId="25" xfId="9" applyFill="1" applyBorder="1" applyAlignment="1">
      <alignment horizontal="left" vertical="center"/>
    </xf>
    <xf numFmtId="0" fontId="1" fillId="7" borderId="23" xfId="9" applyFill="1" applyBorder="1" applyAlignment="1">
      <alignment horizontal="left" vertical="center"/>
    </xf>
    <xf numFmtId="0" fontId="1" fillId="7" borderId="33" xfId="9" applyFill="1" applyBorder="1" applyAlignment="1">
      <alignment horizontal="left" vertical="center"/>
    </xf>
    <xf numFmtId="0" fontId="1" fillId="7" borderId="31" xfId="9" applyFill="1" applyBorder="1" applyAlignment="1">
      <alignment horizontal="left" vertical="center"/>
    </xf>
    <xf numFmtId="0" fontId="1" fillId="2" borderId="9" xfId="9" applyFill="1" applyBorder="1"/>
    <xf numFmtId="0" fontId="2" fillId="2" borderId="1" xfId="9" applyFont="1" applyFill="1" applyBorder="1"/>
    <xf numFmtId="0" fontId="2" fillId="0" borderId="2" xfId="9" applyFont="1" applyBorder="1" applyAlignment="1">
      <alignment vertical="center"/>
    </xf>
    <xf numFmtId="0" fontId="1" fillId="7" borderId="20" xfId="9" quotePrefix="1" applyFont="1" applyFill="1" applyBorder="1"/>
    <xf numFmtId="0" fontId="1" fillId="7" borderId="20" xfId="9" applyFill="1" applyBorder="1"/>
    <xf numFmtId="0" fontId="1" fillId="0" borderId="0" xfId="9" applyAlignment="1"/>
    <xf numFmtId="0" fontId="2" fillId="7" borderId="6" xfId="8" applyNumberFormat="1" applyFont="1" applyFill="1" applyBorder="1" applyAlignment="1">
      <alignment horizontal="center"/>
    </xf>
    <xf numFmtId="167" fontId="1" fillId="6" borderId="6" xfId="9" applyNumberFormat="1" applyFill="1" applyBorder="1"/>
    <xf numFmtId="0" fontId="1" fillId="7" borderId="6" xfId="9" applyFill="1" applyBorder="1" applyAlignment="1">
      <alignment horizontal="center" vertical="top" wrapText="1"/>
    </xf>
    <xf numFmtId="170" fontId="1" fillId="5" borderId="6" xfId="1" applyNumberFormat="1" applyFill="1" applyBorder="1"/>
    <xf numFmtId="17" fontId="1" fillId="7" borderId="6" xfId="9" applyNumberFormat="1" applyFont="1" applyFill="1" applyBorder="1" applyAlignment="1">
      <alignment horizontal="center"/>
    </xf>
    <xf numFmtId="17" fontId="1" fillId="7" borderId="6" xfId="9" applyNumberFormat="1" applyFill="1" applyBorder="1" applyAlignment="1">
      <alignment horizontal="center"/>
    </xf>
    <xf numFmtId="167" fontId="1" fillId="7" borderId="6" xfId="1" applyFill="1" applyBorder="1" applyAlignment="1">
      <alignment horizontal="center" vertical="top" wrapText="1"/>
    </xf>
    <xf numFmtId="167" fontId="1" fillId="7" borderId="6" xfId="1" applyFill="1" applyBorder="1" applyAlignment="1">
      <alignment horizontal="center"/>
    </xf>
    <xf numFmtId="166" fontId="1" fillId="7" borderId="6" xfId="5" applyNumberFormat="1" applyFont="1" applyFill="1" applyBorder="1" applyAlignment="1" applyProtection="1">
      <alignment horizontal="center" vertical="center"/>
      <protection hidden="1"/>
    </xf>
    <xf numFmtId="14" fontId="1" fillId="7" borderId="21" xfId="9" applyNumberFormat="1" applyFill="1" applyBorder="1" applyAlignment="1">
      <alignment horizontal="center" vertical="center"/>
    </xf>
    <xf numFmtId="14" fontId="1" fillId="7" borderId="21" xfId="9" applyNumberFormat="1" applyFont="1" applyFill="1" applyBorder="1" applyAlignment="1">
      <alignment horizontal="center" vertical="center"/>
    </xf>
    <xf numFmtId="0" fontId="1" fillId="7" borderId="21" xfId="9" applyFill="1" applyBorder="1" applyAlignment="1">
      <alignment horizontal="center" vertical="center"/>
    </xf>
    <xf numFmtId="1" fontId="1" fillId="7" borderId="6" xfId="8" applyNumberFormat="1" applyFont="1" applyFill="1" applyBorder="1" applyAlignment="1">
      <alignment horizontal="center"/>
    </xf>
    <xf numFmtId="1" fontId="2" fillId="7" borderId="6" xfId="8" applyNumberFormat="1" applyFont="1" applyFill="1" applyBorder="1" applyAlignment="1">
      <alignment horizontal="center"/>
    </xf>
    <xf numFmtId="1" fontId="1" fillId="7" borderId="6" xfId="9" applyNumberFormat="1" applyFill="1" applyBorder="1" applyAlignment="1">
      <alignment horizontal="center"/>
    </xf>
    <xf numFmtId="1" fontId="2" fillId="7" borderId="6" xfId="9" applyNumberFormat="1" applyFont="1" applyFill="1" applyBorder="1" applyAlignment="1">
      <alignment horizontal="center"/>
    </xf>
    <xf numFmtId="166" fontId="1" fillId="6" borderId="6" xfId="9" applyNumberFormat="1" applyFill="1" applyBorder="1" applyAlignment="1">
      <alignment horizontal="right"/>
    </xf>
    <xf numFmtId="2" fontId="1" fillId="7" borderId="6" xfId="9" applyNumberFormat="1" applyFill="1" applyBorder="1" applyAlignment="1">
      <alignment horizontal="center"/>
    </xf>
    <xf numFmtId="0" fontId="1" fillId="0" borderId="0" xfId="9" applyAlignment="1"/>
    <xf numFmtId="0" fontId="0" fillId="0" borderId="0" xfId="0" applyFill="1" applyAlignment="1">
      <alignment horizontal="center" vertical="center" wrapText="1"/>
    </xf>
    <xf numFmtId="0" fontId="0" fillId="0" borderId="0" xfId="0" applyFill="1" applyAlignment="1">
      <alignment vertical="center" wrapText="1"/>
    </xf>
    <xf numFmtId="0" fontId="18" fillId="9" borderId="6" xfId="0" applyFont="1" applyFill="1" applyBorder="1" applyAlignment="1" applyProtection="1">
      <alignment horizontal="center" vertical="center" wrapText="1"/>
    </xf>
    <xf numFmtId="0" fontId="19" fillId="10" borderId="6" xfId="0" applyFont="1" applyFill="1" applyBorder="1" applyAlignment="1">
      <alignment vertical="top" wrapText="1"/>
    </xf>
    <xf numFmtId="0" fontId="19" fillId="10" borderId="6" xfId="0" applyFont="1" applyFill="1" applyBorder="1" applyAlignment="1">
      <alignment vertical="center" wrapText="1"/>
    </xf>
    <xf numFmtId="0" fontId="1" fillId="7" borderId="6" xfId="9" applyFill="1" applyBorder="1" applyAlignment="1">
      <alignment horizontal="center"/>
    </xf>
    <xf numFmtId="0" fontId="2" fillId="0" borderId="3" xfId="9" applyFont="1" applyFill="1" applyBorder="1" applyAlignment="1">
      <alignment horizontal="center" vertical="top" wrapText="1"/>
    </xf>
    <xf numFmtId="0" fontId="2" fillId="7" borderId="6" xfId="9" applyFont="1" applyFill="1" applyBorder="1" applyAlignment="1">
      <alignment horizontal="center"/>
    </xf>
    <xf numFmtId="0" fontId="2" fillId="0" borderId="6" xfId="9" applyFont="1" applyFill="1" applyBorder="1" applyAlignment="1">
      <alignment horizontal="center" vertical="top" wrapText="1"/>
    </xf>
    <xf numFmtId="0" fontId="1" fillId="7" borderId="32" xfId="9" applyFill="1" applyBorder="1" applyAlignment="1">
      <alignment vertical="center"/>
    </xf>
    <xf numFmtId="0" fontId="20" fillId="9" borderId="6" xfId="0" applyFont="1" applyFill="1" applyBorder="1" applyAlignment="1" applyProtection="1">
      <alignment vertical="top" wrapText="1"/>
    </xf>
    <xf numFmtId="0" fontId="18" fillId="10" borderId="6" xfId="0" applyFont="1" applyFill="1" applyBorder="1" applyAlignment="1">
      <alignment vertical="top" wrapText="1"/>
    </xf>
    <xf numFmtId="0" fontId="18" fillId="10" borderId="6" xfId="0" applyFont="1" applyFill="1" applyBorder="1" applyAlignment="1">
      <alignment vertical="center" wrapText="1"/>
    </xf>
    <xf numFmtId="0" fontId="17" fillId="9" borderId="6" xfId="0" applyFont="1" applyFill="1" applyBorder="1" applyAlignment="1" applyProtection="1">
      <alignment vertical="center" wrapText="1"/>
    </xf>
    <xf numFmtId="170" fontId="1" fillId="7" borderId="6" xfId="1" applyNumberFormat="1" applyFill="1" applyBorder="1"/>
    <xf numFmtId="10" fontId="1" fillId="7" borderId="6" xfId="8" applyNumberFormat="1" applyFill="1" applyBorder="1"/>
    <xf numFmtId="0" fontId="14" fillId="7" borderId="6" xfId="9" applyFont="1" applyFill="1" applyBorder="1"/>
    <xf numFmtId="0" fontId="3" fillId="0" borderId="6" xfId="9" applyFont="1" applyFill="1" applyBorder="1" applyAlignment="1" applyProtection="1">
      <alignment horizontal="center" vertical="center" wrapText="1"/>
      <protection hidden="1"/>
    </xf>
    <xf numFmtId="166" fontId="1" fillId="7" borderId="6" xfId="5" applyNumberFormat="1" applyFont="1" applyFill="1" applyBorder="1" applyAlignment="1" applyProtection="1">
      <alignment vertical="center"/>
      <protection hidden="1"/>
    </xf>
    <xf numFmtId="166" fontId="1" fillId="7" borderId="6" xfId="6" applyNumberFormat="1" applyFont="1" applyFill="1" applyBorder="1" applyAlignment="1" applyProtection="1">
      <alignment vertical="center"/>
      <protection hidden="1"/>
    </xf>
    <xf numFmtId="166" fontId="1" fillId="6" borderId="6" xfId="6" applyNumberFormat="1" applyFont="1" applyFill="1" applyBorder="1" applyAlignment="1" applyProtection="1">
      <alignment vertical="center"/>
      <protection hidden="1"/>
    </xf>
    <xf numFmtId="169" fontId="1" fillId="6" borderId="6" xfId="8" applyNumberFormat="1" applyFont="1" applyFill="1" applyBorder="1" applyAlignment="1" applyProtection="1">
      <alignment vertical="center"/>
      <protection hidden="1"/>
    </xf>
    <xf numFmtId="166" fontId="15" fillId="8" borderId="6" xfId="5" applyNumberFormat="1" applyFont="1" applyFill="1" applyBorder="1" applyAlignment="1" applyProtection="1">
      <alignment vertical="center"/>
      <protection hidden="1"/>
    </xf>
    <xf numFmtId="0" fontId="15" fillId="8" borderId="6" xfId="9" applyFont="1" applyFill="1" applyBorder="1"/>
    <xf numFmtId="169" fontId="15" fillId="8" borderId="6" xfId="8" applyNumberFormat="1" applyFont="1" applyFill="1" applyBorder="1" applyAlignment="1" applyProtection="1">
      <alignment vertical="center"/>
      <protection hidden="1"/>
    </xf>
    <xf numFmtId="0" fontId="9" fillId="0" borderId="6" xfId="9" applyFont="1" applyBorder="1"/>
    <xf numFmtId="0" fontId="7" fillId="0" borderId="6" xfId="9" applyFont="1" applyBorder="1"/>
    <xf numFmtId="14" fontId="1" fillId="5" borderId="6" xfId="9" applyNumberFormat="1" applyFill="1" applyBorder="1"/>
    <xf numFmtId="14" fontId="1" fillId="3" borderId="6" xfId="9" applyNumberFormat="1" applyFill="1" applyBorder="1"/>
    <xf numFmtId="0" fontId="2" fillId="2" borderId="34" xfId="9" applyFont="1" applyFill="1" applyBorder="1"/>
    <xf numFmtId="0" fontId="15" fillId="8" borderId="9" xfId="9" applyFont="1" applyFill="1" applyBorder="1"/>
    <xf numFmtId="0" fontId="7" fillId="0" borderId="34" xfId="9" applyFont="1" applyBorder="1"/>
    <xf numFmtId="0" fontId="1" fillId="8" borderId="9" xfId="9" applyFill="1" applyBorder="1"/>
    <xf numFmtId="0" fontId="2" fillId="0" borderId="3" xfId="9" applyFont="1" applyFill="1" applyBorder="1" applyAlignment="1">
      <alignment horizontal="left" vertical="top" wrapText="1"/>
    </xf>
    <xf numFmtId="0" fontId="2" fillId="0" borderId="3" xfId="9" applyFont="1" applyFill="1" applyBorder="1" applyAlignment="1">
      <alignment wrapText="1"/>
    </xf>
    <xf numFmtId="0" fontId="2" fillId="0" borderId="3" xfId="9" applyFont="1" applyFill="1" applyBorder="1" applyAlignment="1">
      <alignment horizontal="left" wrapText="1"/>
    </xf>
    <xf numFmtId="0" fontId="2" fillId="0" borderId="3" xfId="9" applyFont="1" applyFill="1" applyBorder="1" applyAlignment="1"/>
    <xf numFmtId="0" fontId="2" fillId="0" borderId="13" xfId="9" applyFont="1" applyFill="1" applyBorder="1" applyAlignment="1"/>
    <xf numFmtId="0" fontId="2" fillId="2" borderId="35" xfId="9" applyFont="1" applyFill="1" applyBorder="1"/>
    <xf numFmtId="0" fontId="1" fillId="2" borderId="30" xfId="9" applyFill="1" applyBorder="1"/>
    <xf numFmtId="0" fontId="1" fillId="2" borderId="36" xfId="9" applyFill="1" applyBorder="1"/>
    <xf numFmtId="0" fontId="1" fillId="2" borderId="15" xfId="9" applyFill="1" applyBorder="1"/>
    <xf numFmtId="0" fontId="1" fillId="2" borderId="34" xfId="9" applyFill="1" applyBorder="1"/>
    <xf numFmtId="0" fontId="2" fillId="7" borderId="37" xfId="9" applyFont="1" applyFill="1" applyBorder="1"/>
    <xf numFmtId="0" fontId="1" fillId="7" borderId="29" xfId="9" applyFill="1" applyBorder="1"/>
    <xf numFmtId="0" fontId="2" fillId="2" borderId="19" xfId="9" applyFont="1" applyFill="1" applyBorder="1"/>
    <xf numFmtId="0" fontId="1" fillId="2" borderId="11" xfId="9" applyFill="1" applyBorder="1"/>
    <xf numFmtId="0" fontId="1" fillId="8" borderId="3" xfId="9" applyFont="1" applyFill="1" applyBorder="1"/>
    <xf numFmtId="0" fontId="1" fillId="7" borderId="35" xfId="9" applyFont="1" applyFill="1" applyBorder="1"/>
    <xf numFmtId="0" fontId="1" fillId="7" borderId="30" xfId="9" applyFill="1" applyBorder="1"/>
    <xf numFmtId="0" fontId="2" fillId="2" borderId="37" xfId="9" applyFont="1" applyFill="1" applyBorder="1"/>
    <xf numFmtId="0" fontId="1" fillId="2" borderId="29" xfId="9" applyFill="1" applyBorder="1"/>
    <xf numFmtId="0" fontId="1" fillId="7" borderId="22" xfId="9" applyFont="1" applyFill="1" applyBorder="1" applyAlignment="1">
      <alignment vertical="center"/>
    </xf>
    <xf numFmtId="0" fontId="1" fillId="7" borderId="21" xfId="9" applyFill="1" applyBorder="1" applyAlignment="1">
      <alignment horizontal="left" vertical="center"/>
    </xf>
    <xf numFmtId="0" fontId="1" fillId="7" borderId="25" xfId="9" applyFont="1" applyFill="1" applyBorder="1" applyAlignment="1">
      <alignment vertical="center"/>
    </xf>
    <xf numFmtId="0" fontId="1" fillId="7" borderId="24" xfId="9" applyFill="1" applyBorder="1" applyAlignment="1">
      <alignment horizontal="left" vertical="center"/>
    </xf>
    <xf numFmtId="0" fontId="1" fillId="7" borderId="32" xfId="9" applyFill="1" applyBorder="1" applyAlignment="1">
      <alignment horizontal="left" vertical="center"/>
    </xf>
    <xf numFmtId="0" fontId="2" fillId="2" borderId="3" xfId="9" applyFont="1" applyFill="1" applyBorder="1"/>
    <xf numFmtId="0" fontId="2" fillId="2" borderId="2" xfId="9" applyFont="1" applyFill="1" applyBorder="1" applyAlignment="1">
      <alignment horizontal="center"/>
    </xf>
    <xf numFmtId="0" fontId="1" fillId="7" borderId="39" xfId="9" applyFill="1" applyBorder="1" applyAlignment="1">
      <alignment vertical="center"/>
    </xf>
    <xf numFmtId="0" fontId="1" fillId="7" borderId="22" xfId="9" applyFont="1" applyFill="1" applyBorder="1"/>
    <xf numFmtId="0" fontId="1" fillId="7" borderId="33" xfId="9" quotePrefix="1" applyFont="1" applyFill="1" applyBorder="1"/>
    <xf numFmtId="0" fontId="1" fillId="7" borderId="31" xfId="9" quotePrefix="1" applyFont="1" applyFill="1" applyBorder="1"/>
    <xf numFmtId="0" fontId="1" fillId="7" borderId="31" xfId="9" applyFill="1" applyBorder="1"/>
    <xf numFmtId="0" fontId="1" fillId="0" borderId="0" xfId="9" applyAlignment="1">
      <alignment wrapText="1"/>
    </xf>
    <xf numFmtId="0" fontId="1" fillId="0" borderId="0" xfId="9" applyAlignment="1">
      <alignment vertical="top" wrapText="1"/>
    </xf>
    <xf numFmtId="0" fontId="2" fillId="7" borderId="6" xfId="9" applyFont="1" applyFill="1" applyBorder="1" applyAlignment="1">
      <alignment horizontal="center"/>
    </xf>
    <xf numFmtId="0" fontId="1" fillId="7" borderId="6" xfId="9" applyFill="1" applyBorder="1" applyAlignment="1">
      <alignment horizontal="center"/>
    </xf>
    <xf numFmtId="0" fontId="1" fillId="7" borderId="6" xfId="9" applyFill="1" applyBorder="1" applyAlignment="1">
      <alignment horizontal="left" vertical="top" wrapText="1"/>
    </xf>
    <xf numFmtId="0" fontId="1" fillId="7" borderId="6" xfId="9" applyFill="1" applyBorder="1" applyAlignment="1">
      <alignment horizontal="left"/>
    </xf>
    <xf numFmtId="0" fontId="1" fillId="7" borderId="6" xfId="9" applyFill="1" applyBorder="1" applyAlignment="1">
      <alignment horizontal="center" wrapText="1"/>
    </xf>
    <xf numFmtId="0" fontId="1" fillId="6" borderId="8" xfId="9" applyFont="1" applyFill="1" applyBorder="1" applyAlignment="1">
      <alignment horizontal="left" vertical="top" wrapText="1"/>
    </xf>
    <xf numFmtId="0" fontId="1" fillId="6" borderId="5" xfId="9" applyFont="1" applyFill="1" applyBorder="1" applyAlignment="1">
      <alignment horizontal="left" vertical="top" wrapText="1"/>
    </xf>
    <xf numFmtId="0" fontId="1" fillId="6" borderId="5" xfId="9" applyFill="1" applyBorder="1" applyAlignment="1">
      <alignment horizontal="left" vertical="top" wrapText="1"/>
    </xf>
    <xf numFmtId="0" fontId="1" fillId="6" borderId="7" xfId="9" applyFill="1" applyBorder="1" applyAlignment="1">
      <alignment horizontal="left" vertical="top" wrapText="1"/>
    </xf>
    <xf numFmtId="0" fontId="2" fillId="2" borderId="6" xfId="9" applyFont="1" applyFill="1" applyBorder="1" applyAlignment="1">
      <alignment horizontal="center"/>
    </xf>
    <xf numFmtId="0" fontId="3" fillId="0" borderId="6" xfId="9" applyFont="1" applyFill="1" applyBorder="1" applyAlignment="1" applyProtection="1">
      <alignment horizontal="center" vertical="center" wrapText="1"/>
      <protection hidden="1"/>
    </xf>
    <xf numFmtId="0" fontId="1" fillId="0" borderId="6" xfId="9" applyBorder="1" applyAlignment="1">
      <alignment horizontal="center" vertical="center" wrapText="1"/>
    </xf>
    <xf numFmtId="0" fontId="1" fillId="6" borderId="8" xfId="9" applyFill="1" applyBorder="1" applyAlignment="1">
      <alignment wrapText="1"/>
    </xf>
    <xf numFmtId="0" fontId="1" fillId="6" borderId="5" xfId="9" applyFill="1" applyBorder="1" applyAlignment="1"/>
    <xf numFmtId="0" fontId="2" fillId="2" borderId="6" xfId="9" applyFont="1" applyFill="1" applyBorder="1" applyAlignment="1">
      <alignment horizontal="right"/>
    </xf>
    <xf numFmtId="0" fontId="2" fillId="2" borderId="6" xfId="9" applyFont="1" applyFill="1" applyBorder="1" applyAlignment="1">
      <alignment horizontal="center" vertical="top" wrapText="1"/>
    </xf>
    <xf numFmtId="10" fontId="2" fillId="8" borderId="6" xfId="8" applyNumberFormat="1" applyFont="1" applyFill="1" applyBorder="1" applyAlignment="1">
      <alignment horizontal="center"/>
    </xf>
    <xf numFmtId="0" fontId="7" fillId="0" borderId="6" xfId="9" applyFont="1" applyBorder="1" applyAlignment="1">
      <alignment horizontal="center"/>
    </xf>
    <xf numFmtId="0" fontId="5" fillId="4" borderId="8" xfId="9" applyFont="1" applyFill="1" applyBorder="1" applyAlignment="1">
      <alignment horizontal="center" vertical="center"/>
    </xf>
    <xf numFmtId="0" fontId="6" fillId="0" borderId="5" xfId="9" applyFont="1" applyBorder="1" applyAlignment="1">
      <alignment vertical="center"/>
    </xf>
    <xf numFmtId="0" fontId="6" fillId="0" borderId="7" xfId="9" applyFont="1" applyBorder="1" applyAlignment="1">
      <alignment vertical="center"/>
    </xf>
    <xf numFmtId="0" fontId="2" fillId="2" borderId="6" xfId="9" applyFont="1" applyFill="1" applyBorder="1" applyAlignment="1">
      <alignment horizontal="center" wrapText="1"/>
    </xf>
    <xf numFmtId="0" fontId="2" fillId="2" borderId="6" xfId="9" applyFont="1" applyFill="1" applyBorder="1" applyAlignment="1">
      <alignment horizontal="left" wrapText="1"/>
    </xf>
    <xf numFmtId="0" fontId="18" fillId="10" borderId="6" xfId="0" applyFont="1" applyFill="1" applyBorder="1" applyAlignment="1">
      <alignment horizontal="center" vertical="top" wrapText="1"/>
    </xf>
    <xf numFmtId="0" fontId="17" fillId="9" borderId="6" xfId="0" applyFont="1" applyFill="1" applyBorder="1" applyAlignment="1" applyProtection="1">
      <alignment horizontal="left" vertical="top" wrapText="1"/>
    </xf>
    <xf numFmtId="1" fontId="18" fillId="10" borderId="6" xfId="0" applyNumberFormat="1" applyFont="1" applyFill="1" applyBorder="1" applyAlignment="1">
      <alignment horizontal="center" vertical="center" wrapText="1"/>
    </xf>
    <xf numFmtId="0" fontId="1" fillId="3" borderId="8" xfId="9" applyFont="1" applyFill="1" applyBorder="1" applyAlignment="1">
      <alignment horizontal="left" vertical="center" wrapText="1"/>
    </xf>
    <xf numFmtId="0" fontId="1" fillId="3" borderId="7" xfId="9" applyFont="1" applyFill="1" applyBorder="1" applyAlignment="1">
      <alignment horizontal="left" vertical="center" wrapText="1"/>
    </xf>
    <xf numFmtId="0" fontId="1" fillId="7" borderId="3" xfId="9" applyFont="1" applyFill="1" applyBorder="1" applyAlignment="1">
      <alignment horizontal="center"/>
    </xf>
    <xf numFmtId="0" fontId="1" fillId="7" borderId="1" xfId="9" applyFont="1" applyFill="1" applyBorder="1" applyAlignment="1">
      <alignment horizontal="center"/>
    </xf>
    <xf numFmtId="0" fontId="1" fillId="7" borderId="2" xfId="9" applyFont="1" applyFill="1" applyBorder="1" applyAlignment="1">
      <alignment horizontal="center"/>
    </xf>
    <xf numFmtId="0" fontId="2" fillId="0" borderId="6" xfId="9" applyFont="1" applyFill="1" applyBorder="1" applyAlignment="1">
      <alignment horizontal="center" vertical="top" wrapText="1"/>
    </xf>
    <xf numFmtId="17" fontId="1" fillId="7" borderId="3" xfId="9" applyNumberFormat="1" applyFill="1" applyBorder="1" applyAlignment="1">
      <alignment horizontal="center" wrapText="1"/>
    </xf>
    <xf numFmtId="17" fontId="1" fillId="7" borderId="2" xfId="9" applyNumberFormat="1" applyFill="1" applyBorder="1" applyAlignment="1">
      <alignment horizontal="center" wrapText="1"/>
    </xf>
    <xf numFmtId="0" fontId="1" fillId="7" borderId="3" xfId="9" applyFill="1" applyBorder="1" applyAlignment="1">
      <alignment horizontal="center" vertical="top" wrapText="1"/>
    </xf>
    <xf numFmtId="0" fontId="1" fillId="7" borderId="2" xfId="9" applyFill="1" applyBorder="1" applyAlignment="1">
      <alignment horizontal="center" vertical="top" wrapText="1"/>
    </xf>
    <xf numFmtId="0" fontId="2" fillId="0" borderId="3" xfId="9" applyFont="1" applyFill="1" applyBorder="1" applyAlignment="1">
      <alignment horizontal="center" vertical="top" wrapText="1"/>
    </xf>
    <xf numFmtId="0" fontId="2" fillId="0" borderId="2" xfId="9" applyFont="1" applyFill="1" applyBorder="1" applyAlignment="1">
      <alignment horizontal="center" vertical="top" wrapText="1"/>
    </xf>
    <xf numFmtId="0" fontId="1" fillId="7" borderId="22" xfId="9" applyFont="1" applyFill="1" applyBorder="1" applyAlignment="1">
      <alignment horizontal="left" vertical="center" wrapText="1"/>
    </xf>
    <xf numFmtId="0" fontId="1" fillId="7" borderId="20" xfId="9" applyFill="1" applyBorder="1" applyAlignment="1">
      <alignment wrapText="1"/>
    </xf>
    <xf numFmtId="0" fontId="1" fillId="7" borderId="21" xfId="9" applyFill="1" applyBorder="1" applyAlignment="1">
      <alignment wrapText="1"/>
    </xf>
    <xf numFmtId="0" fontId="1" fillId="7" borderId="34" xfId="9" applyFont="1" applyFill="1" applyBorder="1" applyAlignment="1">
      <alignment horizontal="left"/>
    </xf>
    <xf numFmtId="0" fontId="1" fillId="7" borderId="0" xfId="9" applyFont="1" applyFill="1" applyBorder="1" applyAlignment="1">
      <alignment horizontal="left"/>
    </xf>
    <xf numFmtId="0" fontId="1" fillId="7" borderId="9" xfId="9" applyFont="1" applyFill="1" applyBorder="1" applyAlignment="1">
      <alignment horizontal="left"/>
    </xf>
    <xf numFmtId="0" fontId="1" fillId="7" borderId="34" xfId="9" applyFont="1" applyFill="1" applyBorder="1" applyAlignment="1"/>
    <xf numFmtId="0" fontId="1" fillId="7" borderId="0" xfId="9" applyFont="1" applyFill="1" applyBorder="1" applyAlignment="1"/>
    <xf numFmtId="0" fontId="1" fillId="7" borderId="9" xfId="9" applyFont="1" applyFill="1" applyBorder="1" applyAlignment="1"/>
    <xf numFmtId="0" fontId="2" fillId="7" borderId="34" xfId="9" applyFont="1" applyFill="1" applyBorder="1" applyAlignment="1"/>
    <xf numFmtId="0" fontId="2" fillId="7" borderId="0" xfId="9" applyFont="1" applyFill="1" applyBorder="1" applyAlignment="1"/>
    <xf numFmtId="0" fontId="2" fillId="7" borderId="9" xfId="9" applyFont="1" applyFill="1" applyBorder="1" applyAlignment="1"/>
    <xf numFmtId="0" fontId="2" fillId="7" borderId="18" xfId="9" applyFont="1" applyFill="1" applyBorder="1" applyAlignment="1"/>
    <xf numFmtId="0" fontId="2" fillId="7" borderId="16" xfId="9" applyFont="1" applyFill="1" applyBorder="1" applyAlignment="1"/>
    <xf numFmtId="0" fontId="2" fillId="7" borderId="38" xfId="9" applyFont="1" applyFill="1" applyBorder="1" applyAlignment="1"/>
    <xf numFmtId="0" fontId="2" fillId="0" borderId="37" xfId="9" applyFont="1" applyFill="1" applyBorder="1" applyAlignment="1">
      <alignment horizontal="left" vertical="center"/>
    </xf>
    <xf numFmtId="0" fontId="1" fillId="0" borderId="10" xfId="9" applyBorder="1" applyAlignment="1">
      <alignment vertical="center"/>
    </xf>
    <xf numFmtId="0" fontId="1" fillId="0" borderId="29" xfId="9" applyBorder="1" applyAlignment="1">
      <alignment vertical="center"/>
    </xf>
    <xf numFmtId="0" fontId="1" fillId="7" borderId="28" xfId="9" applyFont="1" applyFill="1" applyBorder="1" applyAlignment="1">
      <alignment horizontal="left" vertical="center"/>
    </xf>
    <xf numFmtId="0" fontId="1" fillId="7" borderId="26" xfId="9" applyFont="1" applyFill="1" applyBorder="1" applyAlignment="1">
      <alignment horizontal="left" vertical="center"/>
    </xf>
    <xf numFmtId="0" fontId="1" fillId="7" borderId="27" xfId="9" applyFont="1" applyFill="1" applyBorder="1" applyAlignment="1">
      <alignment vertical="center"/>
    </xf>
    <xf numFmtId="0" fontId="1" fillId="7" borderId="28" xfId="9" applyFont="1" applyFill="1" applyBorder="1" applyAlignment="1">
      <alignment horizontal="left" vertical="center" wrapText="1"/>
    </xf>
    <xf numFmtId="0" fontId="1" fillId="7" borderId="26" xfId="9" applyFill="1" applyBorder="1" applyAlignment="1">
      <alignment horizontal="left" vertical="center" wrapText="1"/>
    </xf>
    <xf numFmtId="0" fontId="1" fillId="7" borderId="27" xfId="9" applyFill="1" applyBorder="1" applyAlignment="1">
      <alignment horizontal="left" vertical="center" wrapText="1"/>
    </xf>
    <xf numFmtId="0" fontId="1" fillId="7" borderId="33" xfId="9" applyFont="1" applyFill="1" applyBorder="1" applyAlignment="1">
      <alignment horizontal="left" vertical="center"/>
    </xf>
    <xf numFmtId="0" fontId="1" fillId="7" borderId="31" xfId="9" applyFont="1" applyFill="1" applyBorder="1" applyAlignment="1">
      <alignment horizontal="left" vertical="center"/>
    </xf>
    <xf numFmtId="0" fontId="1" fillId="7" borderId="32" xfId="9" applyFill="1" applyBorder="1" applyAlignment="1">
      <alignment vertical="center"/>
    </xf>
    <xf numFmtId="0" fontId="1" fillId="7" borderId="34" xfId="9" applyFont="1" applyFill="1" applyBorder="1" applyAlignment="1">
      <alignment horizontal="center"/>
    </xf>
    <xf numFmtId="0" fontId="1" fillId="7" borderId="0" xfId="9" applyFont="1" applyFill="1" applyBorder="1" applyAlignment="1">
      <alignment horizontal="center"/>
    </xf>
    <xf numFmtId="0" fontId="1" fillId="7" borderId="9" xfId="9" applyFont="1" applyFill="1" applyBorder="1" applyAlignment="1">
      <alignment horizontal="center"/>
    </xf>
    <xf numFmtId="0" fontId="1" fillId="3" borderId="8" xfId="9" applyFill="1" applyBorder="1" applyAlignment="1">
      <alignment horizontal="left" vertical="top" wrapText="1"/>
    </xf>
    <xf numFmtId="0" fontId="1" fillId="0" borderId="5" xfId="9" applyBorder="1" applyAlignment="1">
      <alignment horizontal="left" vertical="top" wrapText="1"/>
    </xf>
    <xf numFmtId="0" fontId="1" fillId="0" borderId="7" xfId="9" applyBorder="1" applyAlignment="1">
      <alignment horizontal="left" vertical="top" wrapText="1"/>
    </xf>
    <xf numFmtId="0" fontId="1" fillId="3" borderId="8" xfId="9" applyFont="1" applyFill="1" applyBorder="1" applyAlignment="1">
      <alignment horizontal="left" vertical="top" wrapText="1"/>
    </xf>
    <xf numFmtId="0" fontId="1" fillId="3" borderId="5" xfId="9" applyFont="1" applyFill="1" applyBorder="1" applyAlignment="1">
      <alignment horizontal="left" vertical="top" wrapText="1"/>
    </xf>
    <xf numFmtId="0" fontId="1" fillId="7" borderId="1" xfId="9" applyFill="1" applyBorder="1" applyAlignment="1">
      <alignment horizontal="center"/>
    </xf>
    <xf numFmtId="0" fontId="1" fillId="7" borderId="2" xfId="9" applyFill="1" applyBorder="1" applyAlignment="1">
      <alignment horizontal="center"/>
    </xf>
    <xf numFmtId="0" fontId="2" fillId="7" borderId="34" xfId="9" applyFont="1" applyFill="1" applyBorder="1" applyAlignment="1">
      <alignment horizontal="center"/>
    </xf>
    <xf numFmtId="0" fontId="2" fillId="7" borderId="0" xfId="9" applyFont="1" applyFill="1" applyBorder="1" applyAlignment="1">
      <alignment horizontal="center"/>
    </xf>
    <xf numFmtId="0" fontId="0" fillId="0" borderId="0" xfId="0" applyBorder="1" applyAlignment="1">
      <alignment horizontal="center"/>
    </xf>
    <xf numFmtId="0" fontId="0" fillId="0" borderId="9" xfId="0" applyBorder="1" applyAlignment="1">
      <alignment horizontal="center"/>
    </xf>
    <xf numFmtId="0" fontId="1" fillId="0" borderId="0" xfId="9" applyAlignment="1">
      <alignment horizontal="center" vertical="top" wrapText="1"/>
    </xf>
    <xf numFmtId="0" fontId="1" fillId="0" borderId="0" xfId="9" applyAlignment="1"/>
    <xf numFmtId="0" fontId="21" fillId="0" borderId="6" xfId="0" applyFont="1" applyFill="1" applyBorder="1" applyAlignment="1">
      <alignment horizontal="center" vertical="center" wrapText="1"/>
    </xf>
    <xf numFmtId="0" fontId="18" fillId="10" borderId="3" xfId="0" applyFont="1" applyFill="1" applyBorder="1" applyAlignment="1">
      <alignment horizontal="center" vertical="top" wrapText="1"/>
    </xf>
    <xf numFmtId="0" fontId="18" fillId="10" borderId="1" xfId="0" applyFont="1" applyFill="1" applyBorder="1" applyAlignment="1">
      <alignment horizontal="center" vertical="top" wrapText="1"/>
    </xf>
    <xf numFmtId="0" fontId="18" fillId="10" borderId="2" xfId="0" applyFont="1" applyFill="1" applyBorder="1" applyAlignment="1">
      <alignment horizontal="center" vertical="top" wrapText="1"/>
    </xf>
  </cellXfs>
  <cellStyles count="10">
    <cellStyle name="Comma" xfId="1" builtinId="3"/>
    <cellStyle name="Comma 2" xfId="2"/>
    <cellStyle name="Comma 3" xfId="3"/>
    <cellStyle name="Comma 4" xfId="4"/>
    <cellStyle name="Currency" xfId="5" builtinId="4"/>
    <cellStyle name="Currency_Sheet1" xfId="6"/>
    <cellStyle name="Normal" xfId="0" builtinId="0"/>
    <cellStyle name="Normal 2" xfId="7"/>
    <cellStyle name="Normal 3" xfId="9"/>
    <cellStyle name="Percent"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5117B6F-0454-483A-8270-87219FD12CCD}" type="doc">
      <dgm:prSet loTypeId="urn:microsoft.com/office/officeart/2005/8/layout/hProcess9" loCatId="process" qsTypeId="urn:microsoft.com/office/officeart/2005/8/quickstyle/simple1" qsCatId="simple" csTypeId="urn:microsoft.com/office/officeart/2005/8/colors/colorful1" csCatId="colorful" phldr="1"/>
      <dgm:spPr/>
    </dgm:pt>
    <dgm:pt modelId="{C16222AF-55AD-4005-8D14-8A5DE590287D}">
      <dgm:prSet phldrT="[Text]"/>
      <dgm:spPr/>
      <dgm:t>
        <a:bodyPr/>
        <a:lstStyle/>
        <a:p>
          <a:r>
            <a:rPr lang="en-US"/>
            <a:t>Prepared by </a:t>
          </a:r>
        </a:p>
        <a:p>
          <a:r>
            <a:rPr lang="en-US"/>
            <a:t>Project Manager</a:t>
          </a:r>
        </a:p>
      </dgm:t>
    </dgm:pt>
    <dgm:pt modelId="{B684A491-144A-4139-B7F6-7A405661056B}" type="parTrans" cxnId="{21D2151C-7151-4347-A806-78D409A6D5EA}">
      <dgm:prSet/>
      <dgm:spPr/>
      <dgm:t>
        <a:bodyPr/>
        <a:lstStyle/>
        <a:p>
          <a:endParaRPr lang="en-US"/>
        </a:p>
      </dgm:t>
    </dgm:pt>
    <dgm:pt modelId="{416B6883-ADA5-43AB-8586-F15AB0CD7181}" type="sibTrans" cxnId="{21D2151C-7151-4347-A806-78D409A6D5EA}">
      <dgm:prSet/>
      <dgm:spPr/>
      <dgm:t>
        <a:bodyPr/>
        <a:lstStyle/>
        <a:p>
          <a:endParaRPr lang="en-US"/>
        </a:p>
      </dgm:t>
    </dgm:pt>
    <dgm:pt modelId="{D8981121-2EC8-4738-BC25-D7E6E9B84EBA}">
      <dgm:prSet phldrT="[Text]"/>
      <dgm:spPr/>
      <dgm:t>
        <a:bodyPr/>
        <a:lstStyle/>
        <a:p>
          <a:r>
            <a:rPr lang="en-US"/>
            <a:t>Reviewed by Senior Project Manager</a:t>
          </a:r>
        </a:p>
      </dgm:t>
    </dgm:pt>
    <dgm:pt modelId="{69399A41-C237-4AAE-A45D-D210ED7C8CFE}" type="parTrans" cxnId="{DC527DBD-0BC0-456F-AD18-049719F71A91}">
      <dgm:prSet/>
      <dgm:spPr/>
      <dgm:t>
        <a:bodyPr/>
        <a:lstStyle/>
        <a:p>
          <a:endParaRPr lang="en-US"/>
        </a:p>
      </dgm:t>
    </dgm:pt>
    <dgm:pt modelId="{C0B7F560-7A57-4C7E-84E6-E41C954783B3}" type="sibTrans" cxnId="{DC527DBD-0BC0-456F-AD18-049719F71A91}">
      <dgm:prSet/>
      <dgm:spPr/>
      <dgm:t>
        <a:bodyPr/>
        <a:lstStyle/>
        <a:p>
          <a:endParaRPr lang="en-US"/>
        </a:p>
      </dgm:t>
    </dgm:pt>
    <dgm:pt modelId="{0C0D1DCF-B39B-4174-A5B2-ABC4DF120161}">
      <dgm:prSet phldrT="[Text]"/>
      <dgm:spPr/>
      <dgm:t>
        <a:bodyPr/>
        <a:lstStyle/>
        <a:p>
          <a:r>
            <a:rPr lang="en-US"/>
            <a:t>Approved by Regional Management</a:t>
          </a:r>
        </a:p>
      </dgm:t>
    </dgm:pt>
    <dgm:pt modelId="{6F8618B6-A55C-4431-BEF0-CD49D0880040}" type="parTrans" cxnId="{49742548-4BF9-4BFA-A8E6-A14150F5E875}">
      <dgm:prSet/>
      <dgm:spPr/>
      <dgm:t>
        <a:bodyPr/>
        <a:lstStyle/>
        <a:p>
          <a:endParaRPr lang="en-IN"/>
        </a:p>
      </dgm:t>
    </dgm:pt>
    <dgm:pt modelId="{E25CA079-FBB8-4274-9627-1CE683575CC1}" type="sibTrans" cxnId="{49742548-4BF9-4BFA-A8E6-A14150F5E875}">
      <dgm:prSet/>
      <dgm:spPr/>
      <dgm:t>
        <a:bodyPr/>
        <a:lstStyle/>
        <a:p>
          <a:endParaRPr lang="en-IN"/>
        </a:p>
      </dgm:t>
    </dgm:pt>
    <dgm:pt modelId="{D0124B4F-6925-499B-8669-E8A0E960FD76}" type="pres">
      <dgm:prSet presAssocID="{45117B6F-0454-483A-8270-87219FD12CCD}" presName="CompostProcess" presStyleCnt="0">
        <dgm:presLayoutVars>
          <dgm:dir/>
          <dgm:resizeHandles val="exact"/>
        </dgm:presLayoutVars>
      </dgm:prSet>
      <dgm:spPr/>
    </dgm:pt>
    <dgm:pt modelId="{3C2B48F8-F2E3-4872-BD61-829884CBC46F}" type="pres">
      <dgm:prSet presAssocID="{45117B6F-0454-483A-8270-87219FD12CCD}" presName="arrow" presStyleLbl="bgShp" presStyleIdx="0" presStyleCnt="1"/>
      <dgm:spPr/>
    </dgm:pt>
    <dgm:pt modelId="{51B9C38D-7CE0-4853-BFB2-B6FAFF3EC1E6}" type="pres">
      <dgm:prSet presAssocID="{45117B6F-0454-483A-8270-87219FD12CCD}" presName="linearProcess" presStyleCnt="0"/>
      <dgm:spPr/>
    </dgm:pt>
    <dgm:pt modelId="{34DE89F3-2A32-44BE-88BE-155A93CC7EAA}" type="pres">
      <dgm:prSet presAssocID="{C16222AF-55AD-4005-8D14-8A5DE590287D}" presName="textNode" presStyleLbl="node1" presStyleIdx="0" presStyleCnt="3">
        <dgm:presLayoutVars>
          <dgm:bulletEnabled val="1"/>
        </dgm:presLayoutVars>
      </dgm:prSet>
      <dgm:spPr/>
      <dgm:t>
        <a:bodyPr/>
        <a:lstStyle/>
        <a:p>
          <a:endParaRPr lang="en-US"/>
        </a:p>
      </dgm:t>
    </dgm:pt>
    <dgm:pt modelId="{416F7129-1ACB-4D1A-A021-E9F187439DE0}" type="pres">
      <dgm:prSet presAssocID="{416B6883-ADA5-43AB-8586-F15AB0CD7181}" presName="sibTrans" presStyleCnt="0"/>
      <dgm:spPr/>
    </dgm:pt>
    <dgm:pt modelId="{456D1756-6610-416D-B45A-F7B4BCDCE86F}" type="pres">
      <dgm:prSet presAssocID="{D8981121-2EC8-4738-BC25-D7E6E9B84EBA}" presName="textNode" presStyleLbl="node1" presStyleIdx="1" presStyleCnt="3">
        <dgm:presLayoutVars>
          <dgm:bulletEnabled val="1"/>
        </dgm:presLayoutVars>
      </dgm:prSet>
      <dgm:spPr/>
      <dgm:t>
        <a:bodyPr/>
        <a:lstStyle/>
        <a:p>
          <a:endParaRPr lang="en-US"/>
        </a:p>
      </dgm:t>
    </dgm:pt>
    <dgm:pt modelId="{349D06EB-09F5-4613-9979-4BF8AD122127}" type="pres">
      <dgm:prSet presAssocID="{C0B7F560-7A57-4C7E-84E6-E41C954783B3}" presName="sibTrans" presStyleCnt="0"/>
      <dgm:spPr/>
    </dgm:pt>
    <dgm:pt modelId="{C56371B3-0D7F-4B9F-9D65-444A85958E44}" type="pres">
      <dgm:prSet presAssocID="{0C0D1DCF-B39B-4174-A5B2-ABC4DF120161}" presName="textNode" presStyleLbl="node1" presStyleIdx="2" presStyleCnt="3">
        <dgm:presLayoutVars>
          <dgm:bulletEnabled val="1"/>
        </dgm:presLayoutVars>
      </dgm:prSet>
      <dgm:spPr/>
      <dgm:t>
        <a:bodyPr/>
        <a:lstStyle/>
        <a:p>
          <a:endParaRPr lang="en-IN"/>
        </a:p>
      </dgm:t>
    </dgm:pt>
  </dgm:ptLst>
  <dgm:cxnLst>
    <dgm:cxn modelId="{21D2151C-7151-4347-A806-78D409A6D5EA}" srcId="{45117B6F-0454-483A-8270-87219FD12CCD}" destId="{C16222AF-55AD-4005-8D14-8A5DE590287D}" srcOrd="0" destOrd="0" parTransId="{B684A491-144A-4139-B7F6-7A405661056B}" sibTransId="{416B6883-ADA5-43AB-8586-F15AB0CD7181}"/>
    <dgm:cxn modelId="{DC527DBD-0BC0-456F-AD18-049719F71A91}" srcId="{45117B6F-0454-483A-8270-87219FD12CCD}" destId="{D8981121-2EC8-4738-BC25-D7E6E9B84EBA}" srcOrd="1" destOrd="0" parTransId="{69399A41-C237-4AAE-A45D-D210ED7C8CFE}" sibTransId="{C0B7F560-7A57-4C7E-84E6-E41C954783B3}"/>
    <dgm:cxn modelId="{49742548-4BF9-4BFA-A8E6-A14150F5E875}" srcId="{45117B6F-0454-483A-8270-87219FD12CCD}" destId="{0C0D1DCF-B39B-4174-A5B2-ABC4DF120161}" srcOrd="2" destOrd="0" parTransId="{6F8618B6-A55C-4431-BEF0-CD49D0880040}" sibTransId="{E25CA079-FBB8-4274-9627-1CE683575CC1}"/>
    <dgm:cxn modelId="{823C7B60-802B-46A0-9100-2B92BD737523}" type="presOf" srcId="{C16222AF-55AD-4005-8D14-8A5DE590287D}" destId="{34DE89F3-2A32-44BE-88BE-155A93CC7EAA}" srcOrd="0" destOrd="0" presId="urn:microsoft.com/office/officeart/2005/8/layout/hProcess9"/>
    <dgm:cxn modelId="{92C76F0C-0A37-446C-8B23-90FE1F7F70D1}" type="presOf" srcId="{45117B6F-0454-483A-8270-87219FD12CCD}" destId="{D0124B4F-6925-499B-8669-E8A0E960FD76}" srcOrd="0" destOrd="0" presId="urn:microsoft.com/office/officeart/2005/8/layout/hProcess9"/>
    <dgm:cxn modelId="{36B22DC4-062A-47D6-85BE-02980FBDF563}" type="presOf" srcId="{0C0D1DCF-B39B-4174-A5B2-ABC4DF120161}" destId="{C56371B3-0D7F-4B9F-9D65-444A85958E44}" srcOrd="0" destOrd="0" presId="urn:microsoft.com/office/officeart/2005/8/layout/hProcess9"/>
    <dgm:cxn modelId="{9A7BC0E0-5BBD-4DD0-A212-A91A0C140EAF}" type="presOf" srcId="{D8981121-2EC8-4738-BC25-D7E6E9B84EBA}" destId="{456D1756-6610-416D-B45A-F7B4BCDCE86F}" srcOrd="0" destOrd="0" presId="urn:microsoft.com/office/officeart/2005/8/layout/hProcess9"/>
    <dgm:cxn modelId="{506521D9-8CB8-46F2-87FD-23988435501E}" type="presParOf" srcId="{D0124B4F-6925-499B-8669-E8A0E960FD76}" destId="{3C2B48F8-F2E3-4872-BD61-829884CBC46F}" srcOrd="0" destOrd="0" presId="urn:microsoft.com/office/officeart/2005/8/layout/hProcess9"/>
    <dgm:cxn modelId="{CDE391A2-FC96-40D1-9BE1-2842C4C232FA}" type="presParOf" srcId="{D0124B4F-6925-499B-8669-E8A0E960FD76}" destId="{51B9C38D-7CE0-4853-BFB2-B6FAFF3EC1E6}" srcOrd="1" destOrd="0" presId="urn:microsoft.com/office/officeart/2005/8/layout/hProcess9"/>
    <dgm:cxn modelId="{88553981-E0AC-4E12-93A3-D30B2BB6A6BE}" type="presParOf" srcId="{51B9C38D-7CE0-4853-BFB2-B6FAFF3EC1E6}" destId="{34DE89F3-2A32-44BE-88BE-155A93CC7EAA}" srcOrd="0" destOrd="0" presId="urn:microsoft.com/office/officeart/2005/8/layout/hProcess9"/>
    <dgm:cxn modelId="{EF0E8736-52D4-4E83-8F48-D45E2CB1768A}" type="presParOf" srcId="{51B9C38D-7CE0-4853-BFB2-B6FAFF3EC1E6}" destId="{416F7129-1ACB-4D1A-A021-E9F187439DE0}" srcOrd="1" destOrd="0" presId="urn:microsoft.com/office/officeart/2005/8/layout/hProcess9"/>
    <dgm:cxn modelId="{1FD1B494-A43D-4CAB-AE31-C3814DFF7C3A}" type="presParOf" srcId="{51B9C38D-7CE0-4853-BFB2-B6FAFF3EC1E6}" destId="{456D1756-6610-416D-B45A-F7B4BCDCE86F}" srcOrd="2" destOrd="0" presId="urn:microsoft.com/office/officeart/2005/8/layout/hProcess9"/>
    <dgm:cxn modelId="{75BFE291-34F4-4893-B411-D998DD264FF7}" type="presParOf" srcId="{51B9C38D-7CE0-4853-BFB2-B6FAFF3EC1E6}" destId="{349D06EB-09F5-4613-9979-4BF8AD122127}" srcOrd="3" destOrd="0" presId="urn:microsoft.com/office/officeart/2005/8/layout/hProcess9"/>
    <dgm:cxn modelId="{BC518A54-2595-4DEA-9ECA-419FC5E75D4A}" type="presParOf" srcId="{51B9C38D-7CE0-4853-BFB2-B6FAFF3EC1E6}" destId="{C56371B3-0D7F-4B9F-9D65-444A85958E44}" srcOrd="4" destOrd="0" presId="urn:microsoft.com/office/officeart/2005/8/layout/hProcess9"/>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CAA67D7-5516-4C7C-95AF-5C2350B5D575}" type="doc">
      <dgm:prSet loTypeId="urn:microsoft.com/office/officeart/2005/8/layout/matrix3" loCatId="matrix" qsTypeId="urn:microsoft.com/office/officeart/2005/8/quickstyle/simple3" qsCatId="simple" csTypeId="urn:microsoft.com/office/officeart/2005/8/colors/colorful5" csCatId="colorful" phldr="1"/>
      <dgm:spPr/>
      <dgm:t>
        <a:bodyPr/>
        <a:lstStyle/>
        <a:p>
          <a:endParaRPr lang="en-US"/>
        </a:p>
      </dgm:t>
    </dgm:pt>
    <dgm:pt modelId="{6E13860F-2A93-4AE7-991F-260BBB78101A}">
      <dgm:prSet phldrT="[Text]"/>
      <dgm:spPr/>
      <dgm:t>
        <a:bodyPr/>
        <a:lstStyle/>
        <a:p>
          <a:r>
            <a:rPr lang="en-US"/>
            <a:t>NJSEI</a:t>
          </a:r>
        </a:p>
      </dgm:t>
    </dgm:pt>
    <dgm:pt modelId="{AC95D02D-8204-4790-A659-E0867E52CADB}" type="parTrans" cxnId="{8893189D-B4BF-43A6-8B66-57E9C057D4F7}">
      <dgm:prSet/>
      <dgm:spPr/>
      <dgm:t>
        <a:bodyPr/>
        <a:lstStyle/>
        <a:p>
          <a:endParaRPr lang="en-US"/>
        </a:p>
      </dgm:t>
    </dgm:pt>
    <dgm:pt modelId="{C8C5C2E3-71F1-4DDA-95CA-67844634AB3A}" type="sibTrans" cxnId="{8893189D-B4BF-43A6-8B66-57E9C057D4F7}">
      <dgm:prSet/>
      <dgm:spPr/>
      <dgm:t>
        <a:bodyPr/>
        <a:lstStyle/>
        <a:p>
          <a:endParaRPr lang="en-US"/>
        </a:p>
      </dgm:t>
    </dgm:pt>
    <dgm:pt modelId="{4B24D2D4-EDD2-4169-BC54-365CF87D8518}">
      <dgm:prSet phldrT="[Text]"/>
      <dgm:spPr/>
      <dgm:t>
        <a:bodyPr/>
        <a:lstStyle/>
        <a:p>
          <a:r>
            <a:rPr lang="en-US"/>
            <a:t>QMS</a:t>
          </a:r>
        </a:p>
      </dgm:t>
    </dgm:pt>
    <dgm:pt modelId="{CC66BB30-61FF-4C75-93CF-3CC49B947362}" type="parTrans" cxnId="{DB104596-2287-4CB0-9378-499509842619}">
      <dgm:prSet/>
      <dgm:spPr/>
      <dgm:t>
        <a:bodyPr/>
        <a:lstStyle/>
        <a:p>
          <a:endParaRPr lang="en-US"/>
        </a:p>
      </dgm:t>
    </dgm:pt>
    <dgm:pt modelId="{05BCFC77-1935-4C09-B33F-4CE81F32C64A}" type="sibTrans" cxnId="{DB104596-2287-4CB0-9378-499509842619}">
      <dgm:prSet/>
      <dgm:spPr/>
      <dgm:t>
        <a:bodyPr/>
        <a:lstStyle/>
        <a:p>
          <a:endParaRPr lang="en-US"/>
        </a:p>
      </dgm:t>
    </dgm:pt>
    <dgm:pt modelId="{B0BF3C58-3C7A-4454-B1AD-94CF8355F55A}">
      <dgm:prSet phldrT="[Text]"/>
      <dgm:spPr/>
      <dgm:t>
        <a:bodyPr/>
        <a:lstStyle/>
        <a:p>
          <a:r>
            <a:rPr lang="en-IN"/>
            <a:t>PMD7</a:t>
          </a:r>
          <a:endParaRPr lang="en-US"/>
        </a:p>
      </dgm:t>
    </dgm:pt>
    <dgm:pt modelId="{EA800FD2-782C-41EF-A848-A58C418769BA}" type="parTrans" cxnId="{491622CB-7810-4694-A92B-EFFF59A01FAD}">
      <dgm:prSet/>
      <dgm:spPr/>
      <dgm:t>
        <a:bodyPr/>
        <a:lstStyle/>
        <a:p>
          <a:endParaRPr lang="en-US"/>
        </a:p>
      </dgm:t>
    </dgm:pt>
    <dgm:pt modelId="{8B3E8D7E-1E24-42D7-9218-1EDE33311EC6}" type="sibTrans" cxnId="{491622CB-7810-4694-A92B-EFFF59A01FAD}">
      <dgm:prSet/>
      <dgm:spPr/>
      <dgm:t>
        <a:bodyPr/>
        <a:lstStyle/>
        <a:p>
          <a:endParaRPr lang="en-US"/>
        </a:p>
      </dgm:t>
    </dgm:pt>
    <dgm:pt modelId="{6B61E0B5-74DF-4541-9FC3-C69BBB7179F9}">
      <dgm:prSet phldrT="[Text]"/>
      <dgm:spPr/>
      <dgm:t>
        <a:bodyPr/>
        <a:lstStyle/>
        <a:p>
          <a:r>
            <a:rPr lang="en-US"/>
            <a:t>12 Oct 2016</a:t>
          </a:r>
        </a:p>
      </dgm:t>
    </dgm:pt>
    <dgm:pt modelId="{8E3324BC-6EBE-4FC3-8B2E-E3BF5EC0EEDD}" type="parTrans" cxnId="{0AA6937A-AA52-47E0-9A01-4620FBE6925B}">
      <dgm:prSet/>
      <dgm:spPr/>
      <dgm:t>
        <a:bodyPr/>
        <a:lstStyle/>
        <a:p>
          <a:endParaRPr lang="en-US"/>
        </a:p>
      </dgm:t>
    </dgm:pt>
    <dgm:pt modelId="{F545E547-6874-43B8-97B4-6119BB37AFB0}" type="sibTrans" cxnId="{0AA6937A-AA52-47E0-9A01-4620FBE6925B}">
      <dgm:prSet/>
      <dgm:spPr/>
      <dgm:t>
        <a:bodyPr/>
        <a:lstStyle/>
        <a:p>
          <a:endParaRPr lang="en-US"/>
        </a:p>
      </dgm:t>
    </dgm:pt>
    <dgm:pt modelId="{CD61FA5C-7699-4561-A896-A0ABABA54C34}" type="pres">
      <dgm:prSet presAssocID="{1CAA67D7-5516-4C7C-95AF-5C2350B5D575}" presName="matrix" presStyleCnt="0">
        <dgm:presLayoutVars>
          <dgm:chMax val="1"/>
          <dgm:dir/>
          <dgm:resizeHandles val="exact"/>
        </dgm:presLayoutVars>
      </dgm:prSet>
      <dgm:spPr/>
      <dgm:t>
        <a:bodyPr/>
        <a:lstStyle/>
        <a:p>
          <a:endParaRPr lang="en-IN"/>
        </a:p>
      </dgm:t>
    </dgm:pt>
    <dgm:pt modelId="{5FB9D7B5-2CD1-417A-9F00-AC51CD884918}" type="pres">
      <dgm:prSet presAssocID="{1CAA67D7-5516-4C7C-95AF-5C2350B5D575}" presName="diamond" presStyleLbl="bgShp" presStyleIdx="0" presStyleCnt="1"/>
      <dgm:spPr/>
    </dgm:pt>
    <dgm:pt modelId="{80376115-9BAC-4F7D-97D2-E9F2A2B8BFBD}" type="pres">
      <dgm:prSet presAssocID="{1CAA67D7-5516-4C7C-95AF-5C2350B5D575}" presName="quad1" presStyleLbl="node1" presStyleIdx="0" presStyleCnt="4">
        <dgm:presLayoutVars>
          <dgm:chMax val="0"/>
          <dgm:chPref val="0"/>
          <dgm:bulletEnabled val="1"/>
        </dgm:presLayoutVars>
      </dgm:prSet>
      <dgm:spPr/>
      <dgm:t>
        <a:bodyPr/>
        <a:lstStyle/>
        <a:p>
          <a:endParaRPr lang="en-IN"/>
        </a:p>
      </dgm:t>
    </dgm:pt>
    <dgm:pt modelId="{C4D87CAE-BA68-43DC-924F-90A9DF3F54BF}" type="pres">
      <dgm:prSet presAssocID="{1CAA67D7-5516-4C7C-95AF-5C2350B5D575}" presName="quad2" presStyleLbl="node1" presStyleIdx="1" presStyleCnt="4">
        <dgm:presLayoutVars>
          <dgm:chMax val="0"/>
          <dgm:chPref val="0"/>
          <dgm:bulletEnabled val="1"/>
        </dgm:presLayoutVars>
      </dgm:prSet>
      <dgm:spPr/>
      <dgm:t>
        <a:bodyPr/>
        <a:lstStyle/>
        <a:p>
          <a:endParaRPr lang="en-US"/>
        </a:p>
      </dgm:t>
    </dgm:pt>
    <dgm:pt modelId="{BD7806DE-AC41-4515-9833-F7B1A3879E54}" type="pres">
      <dgm:prSet presAssocID="{1CAA67D7-5516-4C7C-95AF-5C2350B5D575}" presName="quad3" presStyleLbl="node1" presStyleIdx="2" presStyleCnt="4">
        <dgm:presLayoutVars>
          <dgm:chMax val="0"/>
          <dgm:chPref val="0"/>
          <dgm:bulletEnabled val="1"/>
        </dgm:presLayoutVars>
      </dgm:prSet>
      <dgm:spPr/>
      <dgm:t>
        <a:bodyPr/>
        <a:lstStyle/>
        <a:p>
          <a:endParaRPr lang="en-US"/>
        </a:p>
      </dgm:t>
    </dgm:pt>
    <dgm:pt modelId="{B100A32C-8EC3-4218-A612-8FE2E5F750EC}" type="pres">
      <dgm:prSet presAssocID="{1CAA67D7-5516-4C7C-95AF-5C2350B5D575}" presName="quad4" presStyleLbl="node1" presStyleIdx="3" presStyleCnt="4">
        <dgm:presLayoutVars>
          <dgm:chMax val="0"/>
          <dgm:chPref val="0"/>
          <dgm:bulletEnabled val="1"/>
        </dgm:presLayoutVars>
      </dgm:prSet>
      <dgm:spPr/>
      <dgm:t>
        <a:bodyPr/>
        <a:lstStyle/>
        <a:p>
          <a:endParaRPr lang="en-US"/>
        </a:p>
      </dgm:t>
    </dgm:pt>
  </dgm:ptLst>
  <dgm:cxnLst>
    <dgm:cxn modelId="{F328C726-3F95-42D8-BBFC-5ADDB3FB3A0C}" type="presOf" srcId="{4B24D2D4-EDD2-4169-BC54-365CF87D8518}" destId="{C4D87CAE-BA68-43DC-924F-90A9DF3F54BF}" srcOrd="0" destOrd="0" presId="urn:microsoft.com/office/officeart/2005/8/layout/matrix3"/>
    <dgm:cxn modelId="{29A950AB-DCE4-4C8F-BD5B-4F0A30192A97}" type="presOf" srcId="{6B61E0B5-74DF-4541-9FC3-C69BBB7179F9}" destId="{B100A32C-8EC3-4218-A612-8FE2E5F750EC}" srcOrd="0" destOrd="0" presId="urn:microsoft.com/office/officeart/2005/8/layout/matrix3"/>
    <dgm:cxn modelId="{DB104596-2287-4CB0-9378-499509842619}" srcId="{1CAA67D7-5516-4C7C-95AF-5C2350B5D575}" destId="{4B24D2D4-EDD2-4169-BC54-365CF87D8518}" srcOrd="1" destOrd="0" parTransId="{CC66BB30-61FF-4C75-93CF-3CC49B947362}" sibTransId="{05BCFC77-1935-4C09-B33F-4CE81F32C64A}"/>
    <dgm:cxn modelId="{A2A8A0B3-3E5D-41E9-9F16-D077AE30929B}" type="presOf" srcId="{1CAA67D7-5516-4C7C-95AF-5C2350B5D575}" destId="{CD61FA5C-7699-4561-A896-A0ABABA54C34}" srcOrd="0" destOrd="0" presId="urn:microsoft.com/office/officeart/2005/8/layout/matrix3"/>
    <dgm:cxn modelId="{491622CB-7810-4694-A92B-EFFF59A01FAD}" srcId="{1CAA67D7-5516-4C7C-95AF-5C2350B5D575}" destId="{B0BF3C58-3C7A-4454-B1AD-94CF8355F55A}" srcOrd="2" destOrd="0" parTransId="{EA800FD2-782C-41EF-A848-A58C418769BA}" sibTransId="{8B3E8D7E-1E24-42D7-9218-1EDE33311EC6}"/>
    <dgm:cxn modelId="{41814CF7-9002-4F8C-A919-6CF738CD88F7}" type="presOf" srcId="{B0BF3C58-3C7A-4454-B1AD-94CF8355F55A}" destId="{BD7806DE-AC41-4515-9833-F7B1A3879E54}" srcOrd="0" destOrd="0" presId="urn:microsoft.com/office/officeart/2005/8/layout/matrix3"/>
    <dgm:cxn modelId="{8893189D-B4BF-43A6-8B66-57E9C057D4F7}" srcId="{1CAA67D7-5516-4C7C-95AF-5C2350B5D575}" destId="{6E13860F-2A93-4AE7-991F-260BBB78101A}" srcOrd="0" destOrd="0" parTransId="{AC95D02D-8204-4790-A659-E0867E52CADB}" sibTransId="{C8C5C2E3-71F1-4DDA-95CA-67844634AB3A}"/>
    <dgm:cxn modelId="{59923AC0-8EA6-40B7-9710-C67D01AE2A4A}" type="presOf" srcId="{6E13860F-2A93-4AE7-991F-260BBB78101A}" destId="{80376115-9BAC-4F7D-97D2-E9F2A2B8BFBD}" srcOrd="0" destOrd="0" presId="urn:microsoft.com/office/officeart/2005/8/layout/matrix3"/>
    <dgm:cxn modelId="{0AA6937A-AA52-47E0-9A01-4620FBE6925B}" srcId="{1CAA67D7-5516-4C7C-95AF-5C2350B5D575}" destId="{6B61E0B5-74DF-4541-9FC3-C69BBB7179F9}" srcOrd="3" destOrd="0" parTransId="{8E3324BC-6EBE-4FC3-8B2E-E3BF5EC0EEDD}" sibTransId="{F545E547-6874-43B8-97B4-6119BB37AFB0}"/>
    <dgm:cxn modelId="{A9F8F0AF-C688-4AD8-99A5-5B9080E5D30D}" type="presParOf" srcId="{CD61FA5C-7699-4561-A896-A0ABABA54C34}" destId="{5FB9D7B5-2CD1-417A-9F00-AC51CD884918}" srcOrd="0" destOrd="0" presId="urn:microsoft.com/office/officeart/2005/8/layout/matrix3"/>
    <dgm:cxn modelId="{D7B259C9-B08A-43F3-AFFD-DCAD5598F7F0}" type="presParOf" srcId="{CD61FA5C-7699-4561-A896-A0ABABA54C34}" destId="{80376115-9BAC-4F7D-97D2-E9F2A2B8BFBD}" srcOrd="1" destOrd="0" presId="urn:microsoft.com/office/officeart/2005/8/layout/matrix3"/>
    <dgm:cxn modelId="{81513628-49DB-4A82-A144-B2933A231DA4}" type="presParOf" srcId="{CD61FA5C-7699-4561-A896-A0ABABA54C34}" destId="{C4D87CAE-BA68-43DC-924F-90A9DF3F54BF}" srcOrd="2" destOrd="0" presId="urn:microsoft.com/office/officeart/2005/8/layout/matrix3"/>
    <dgm:cxn modelId="{A258C0F6-327F-47BD-BF61-593FAB6B9BDC}" type="presParOf" srcId="{CD61FA5C-7699-4561-A896-A0ABABA54C34}" destId="{BD7806DE-AC41-4515-9833-F7B1A3879E54}" srcOrd="3" destOrd="0" presId="urn:microsoft.com/office/officeart/2005/8/layout/matrix3"/>
    <dgm:cxn modelId="{DA3E009B-7113-4BA4-ABDF-587E2C6C55AC}" type="presParOf" srcId="{CD61FA5C-7699-4561-A896-A0ABABA54C34}" destId="{B100A32C-8EC3-4218-A612-8FE2E5F750EC}" srcOrd="4" destOrd="0" presId="urn:microsoft.com/office/officeart/2005/8/layout/matrix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C2B48F8-F2E3-4872-BD61-829884CBC46F}">
      <dsp:nvSpPr>
        <dsp:cNvPr id="0" name=""/>
        <dsp:cNvSpPr/>
      </dsp:nvSpPr>
      <dsp:spPr>
        <a:xfrm>
          <a:off x="445136" y="0"/>
          <a:ext cx="5044875" cy="2077992"/>
        </a:xfrm>
        <a:prstGeom prst="rightArrow">
          <a:avLst/>
        </a:prstGeom>
        <a:solidFill>
          <a:schemeClr val="accent2">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34DE89F3-2A32-44BE-88BE-155A93CC7EAA}">
      <dsp:nvSpPr>
        <dsp:cNvPr id="0" name=""/>
        <dsp:cNvSpPr/>
      </dsp:nvSpPr>
      <dsp:spPr>
        <a:xfrm>
          <a:off x="201122" y="623397"/>
          <a:ext cx="1780544" cy="831197"/>
        </a:xfrm>
        <a:prstGeom prst="roundRect">
          <a:avLst/>
        </a:prstGeom>
        <a:solidFill>
          <a:schemeClr val="accent2">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Prepared by </a:t>
          </a:r>
        </a:p>
        <a:p>
          <a:pPr lvl="0" algn="ctr" defTabSz="666750">
            <a:lnSpc>
              <a:spcPct val="90000"/>
            </a:lnSpc>
            <a:spcBef>
              <a:spcPct val="0"/>
            </a:spcBef>
            <a:spcAft>
              <a:spcPct val="35000"/>
            </a:spcAft>
          </a:pPr>
          <a:r>
            <a:rPr lang="en-US" sz="1500" kern="1200"/>
            <a:t>Project Manager</a:t>
          </a:r>
        </a:p>
      </dsp:txBody>
      <dsp:txXfrm>
        <a:off x="241698" y="663973"/>
        <a:ext cx="1699392" cy="750045"/>
      </dsp:txXfrm>
    </dsp:sp>
    <dsp:sp modelId="{456D1756-6610-416D-B45A-F7B4BCDCE86F}">
      <dsp:nvSpPr>
        <dsp:cNvPr id="0" name=""/>
        <dsp:cNvSpPr/>
      </dsp:nvSpPr>
      <dsp:spPr>
        <a:xfrm>
          <a:off x="2077301" y="623397"/>
          <a:ext cx="1780544" cy="831197"/>
        </a:xfrm>
        <a:prstGeom prst="roundRect">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Reviewed by Senior Project Manager</a:t>
          </a:r>
        </a:p>
      </dsp:txBody>
      <dsp:txXfrm>
        <a:off x="2117877" y="663973"/>
        <a:ext cx="1699392" cy="750045"/>
      </dsp:txXfrm>
    </dsp:sp>
    <dsp:sp modelId="{C56371B3-0D7F-4B9F-9D65-444A85958E44}">
      <dsp:nvSpPr>
        <dsp:cNvPr id="0" name=""/>
        <dsp:cNvSpPr/>
      </dsp:nvSpPr>
      <dsp:spPr>
        <a:xfrm>
          <a:off x="3953480" y="623397"/>
          <a:ext cx="1780544" cy="831197"/>
        </a:xfrm>
        <a:prstGeom prst="roundRect">
          <a:avLst/>
        </a:prstGeom>
        <a:solidFill>
          <a:schemeClr val="accent4">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Approved by Regional Management</a:t>
          </a:r>
        </a:p>
      </dsp:txBody>
      <dsp:txXfrm>
        <a:off x="3994056" y="663973"/>
        <a:ext cx="1699392" cy="75004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FB9D7B5-2CD1-417A-9F00-AC51CD884918}">
      <dsp:nvSpPr>
        <dsp:cNvPr id="0" name=""/>
        <dsp:cNvSpPr/>
      </dsp:nvSpPr>
      <dsp:spPr>
        <a:xfrm>
          <a:off x="427156" y="0"/>
          <a:ext cx="2098700" cy="2098700"/>
        </a:xfrm>
        <a:prstGeom prst="diamond">
          <a:avLst/>
        </a:prstGeom>
        <a:solidFill>
          <a:schemeClr val="accent5">
            <a:tint val="40000"/>
            <a:hueOff val="0"/>
            <a:satOff val="0"/>
            <a:lumOff val="0"/>
            <a:alphaOff val="0"/>
          </a:schemeClr>
        </a:solidFill>
        <a:ln>
          <a:noFill/>
        </a:ln>
        <a:effectLst>
          <a:outerShdw blurRad="40000" dist="20000" dir="5400000" rotWithShape="0">
            <a:srgbClr val="000000">
              <a:alpha val="38000"/>
            </a:srgbClr>
          </a:outerShdw>
        </a:effectLst>
      </dsp:spPr>
      <dsp:style>
        <a:lnRef idx="0">
          <a:scrgbClr r="0" g="0" b="0"/>
        </a:lnRef>
        <a:fillRef idx="1">
          <a:scrgbClr r="0" g="0" b="0"/>
        </a:fillRef>
        <a:effectRef idx="1">
          <a:scrgbClr r="0" g="0" b="0"/>
        </a:effectRef>
        <a:fontRef idx="minor"/>
      </dsp:style>
    </dsp:sp>
    <dsp:sp modelId="{80376115-9BAC-4F7D-97D2-E9F2A2B8BFBD}">
      <dsp:nvSpPr>
        <dsp:cNvPr id="0" name=""/>
        <dsp:cNvSpPr/>
      </dsp:nvSpPr>
      <dsp:spPr>
        <a:xfrm>
          <a:off x="626533" y="199376"/>
          <a:ext cx="818493" cy="818493"/>
        </a:xfrm>
        <a:prstGeom prst="roundRect">
          <a:avLst/>
        </a:prstGeom>
        <a:gradFill rotWithShape="0">
          <a:gsLst>
            <a:gs pos="0">
              <a:schemeClr val="accent5">
                <a:hueOff val="0"/>
                <a:satOff val="0"/>
                <a:lumOff val="0"/>
                <a:alphaOff val="0"/>
                <a:tint val="50000"/>
                <a:satMod val="300000"/>
              </a:schemeClr>
            </a:gs>
            <a:gs pos="35000">
              <a:schemeClr val="accent5">
                <a:hueOff val="0"/>
                <a:satOff val="0"/>
                <a:lumOff val="0"/>
                <a:alphaOff val="0"/>
                <a:tint val="37000"/>
                <a:satMod val="300000"/>
              </a:schemeClr>
            </a:gs>
            <a:gs pos="100000">
              <a:schemeClr val="accent5">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US" sz="1700" kern="1200"/>
            <a:t>NJSEI</a:t>
          </a:r>
        </a:p>
      </dsp:txBody>
      <dsp:txXfrm>
        <a:off x="666489" y="239332"/>
        <a:ext cx="738581" cy="738581"/>
      </dsp:txXfrm>
    </dsp:sp>
    <dsp:sp modelId="{C4D87CAE-BA68-43DC-924F-90A9DF3F54BF}">
      <dsp:nvSpPr>
        <dsp:cNvPr id="0" name=""/>
        <dsp:cNvSpPr/>
      </dsp:nvSpPr>
      <dsp:spPr>
        <a:xfrm>
          <a:off x="1507987" y="199376"/>
          <a:ext cx="818493" cy="818493"/>
        </a:xfrm>
        <a:prstGeom prst="roundRect">
          <a:avLst/>
        </a:prstGeom>
        <a:gradFill rotWithShape="0">
          <a:gsLst>
            <a:gs pos="0">
              <a:schemeClr val="accent5">
                <a:hueOff val="-3311292"/>
                <a:satOff val="13270"/>
                <a:lumOff val="2876"/>
                <a:alphaOff val="0"/>
                <a:tint val="50000"/>
                <a:satMod val="300000"/>
              </a:schemeClr>
            </a:gs>
            <a:gs pos="35000">
              <a:schemeClr val="accent5">
                <a:hueOff val="-3311292"/>
                <a:satOff val="13270"/>
                <a:lumOff val="2876"/>
                <a:alphaOff val="0"/>
                <a:tint val="37000"/>
                <a:satMod val="300000"/>
              </a:schemeClr>
            </a:gs>
            <a:gs pos="100000">
              <a:schemeClr val="accent5">
                <a:hueOff val="-3311292"/>
                <a:satOff val="13270"/>
                <a:lumOff val="2876"/>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US" sz="1700" kern="1200"/>
            <a:t>QMS</a:t>
          </a:r>
        </a:p>
      </dsp:txBody>
      <dsp:txXfrm>
        <a:off x="1547943" y="239332"/>
        <a:ext cx="738581" cy="738581"/>
      </dsp:txXfrm>
    </dsp:sp>
    <dsp:sp modelId="{BD7806DE-AC41-4515-9833-F7B1A3879E54}">
      <dsp:nvSpPr>
        <dsp:cNvPr id="0" name=""/>
        <dsp:cNvSpPr/>
      </dsp:nvSpPr>
      <dsp:spPr>
        <a:xfrm>
          <a:off x="626533" y="1080830"/>
          <a:ext cx="818493" cy="818493"/>
        </a:xfrm>
        <a:prstGeom prst="roundRect">
          <a:avLst/>
        </a:prstGeom>
        <a:gradFill rotWithShape="0">
          <a:gsLst>
            <a:gs pos="0">
              <a:schemeClr val="accent5">
                <a:hueOff val="-6622584"/>
                <a:satOff val="26541"/>
                <a:lumOff val="5752"/>
                <a:alphaOff val="0"/>
                <a:tint val="50000"/>
                <a:satMod val="300000"/>
              </a:schemeClr>
            </a:gs>
            <a:gs pos="35000">
              <a:schemeClr val="accent5">
                <a:hueOff val="-6622584"/>
                <a:satOff val="26541"/>
                <a:lumOff val="5752"/>
                <a:alphaOff val="0"/>
                <a:tint val="37000"/>
                <a:satMod val="300000"/>
              </a:schemeClr>
            </a:gs>
            <a:gs pos="100000">
              <a:schemeClr val="accent5">
                <a:hueOff val="-6622584"/>
                <a:satOff val="26541"/>
                <a:lumOff val="5752"/>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PMD7</a:t>
          </a:r>
          <a:endParaRPr lang="en-US" sz="1700" kern="1200"/>
        </a:p>
      </dsp:txBody>
      <dsp:txXfrm>
        <a:off x="666489" y="1120786"/>
        <a:ext cx="738581" cy="738581"/>
      </dsp:txXfrm>
    </dsp:sp>
    <dsp:sp modelId="{B100A32C-8EC3-4218-A612-8FE2E5F750EC}">
      <dsp:nvSpPr>
        <dsp:cNvPr id="0" name=""/>
        <dsp:cNvSpPr/>
      </dsp:nvSpPr>
      <dsp:spPr>
        <a:xfrm>
          <a:off x="1507987" y="1080830"/>
          <a:ext cx="818493" cy="818493"/>
        </a:xfrm>
        <a:prstGeom prst="roundRect">
          <a:avLst/>
        </a:prstGeom>
        <a:gradFill rotWithShape="0">
          <a:gsLst>
            <a:gs pos="0">
              <a:schemeClr val="accent5">
                <a:hueOff val="-9933876"/>
                <a:satOff val="39811"/>
                <a:lumOff val="8628"/>
                <a:alphaOff val="0"/>
                <a:tint val="50000"/>
                <a:satMod val="300000"/>
              </a:schemeClr>
            </a:gs>
            <a:gs pos="35000">
              <a:schemeClr val="accent5">
                <a:hueOff val="-9933876"/>
                <a:satOff val="39811"/>
                <a:lumOff val="8628"/>
                <a:alphaOff val="0"/>
                <a:tint val="37000"/>
                <a:satMod val="300000"/>
              </a:schemeClr>
            </a:gs>
            <a:gs pos="100000">
              <a:schemeClr val="accent5">
                <a:hueOff val="-9933876"/>
                <a:satOff val="39811"/>
                <a:lumOff val="8628"/>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US" sz="1700" kern="1200"/>
            <a:t>12 Oct 2016</a:t>
          </a:r>
        </a:p>
      </dsp:txBody>
      <dsp:txXfrm>
        <a:off x="1547943" y="1120786"/>
        <a:ext cx="738581" cy="738581"/>
      </dsp:txXfrm>
    </dsp:sp>
  </dsp:spTree>
</dsp:drawing>
</file>

<file path=xl/diagrams/layout1.xml><?xml version="1.0" encoding="utf-8"?>
<dgm:layoutDef xmlns:dgm="http://schemas.openxmlformats.org/drawingml/2006/diagram" xmlns:a="http://schemas.openxmlformats.org/drawingml/2006/main" uniqueId="urn:microsoft.com/office/officeart/2005/8/layout/hProcess9">
  <dgm:title val=""/>
  <dgm:desc val=""/>
  <dgm:catLst>
    <dgm:cat type="process" pri="5000"/>
    <dgm:cat type="convert"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tProcess">
    <dgm:varLst>
      <dgm:dir/>
      <dgm:resizeHandles val="exact"/>
    </dgm:varLst>
    <dgm:alg type="composite">
      <dgm:param type="horzAlign" val="ctr"/>
      <dgm:param type="vertAlign" val="mid"/>
    </dgm:alg>
    <dgm:shape xmlns:r="http://schemas.openxmlformats.org/officeDocument/2006/relationships" r:blip="">
      <dgm:adjLst/>
    </dgm:shape>
    <dgm:presOf/>
    <dgm:constrLst>
      <dgm:constr type="w" for="ch" forName="arrow" refType="w" fact="0.85"/>
      <dgm:constr type="h" for="ch" forName="arrow" refType="h"/>
      <dgm:constr type="ctrX" for="ch" forName="arrow" refType="w" fact="0.5"/>
      <dgm:constr type="ctrY" for="ch" forName="arrow" refType="h" fact="0.5"/>
      <dgm:constr type="w" for="ch" forName="linearProcess" refType="w"/>
      <dgm:constr type="h" for="ch" forName="linearProcess" refType="h" fact="0.4"/>
      <dgm:constr type="ctrX" for="ch" forName="linearProcess" refType="w" fact="0.5"/>
      <dgm:constr type="ctrY" for="ch" forName="linearProcess" refType="h" fact="0.5"/>
    </dgm:constrLst>
    <dgm:ruleLst/>
    <dgm:layoutNode name="arrow" styleLbl="bgShp">
      <dgm:alg type="sp"/>
      <dgm:choose name="Name0">
        <dgm:if name="Name1" func="var" arg="dir" op="equ" val="norm">
          <dgm:shape xmlns:r="http://schemas.openxmlformats.org/officeDocument/2006/relationships" type="rightArrow" r:blip="">
            <dgm:adjLst/>
          </dgm:shape>
        </dgm:if>
        <dgm:else name="Name2">
          <dgm:shape xmlns:r="http://schemas.openxmlformats.org/officeDocument/2006/relationships" type="leftArrow" r:blip="">
            <dgm:adjLst/>
          </dgm:shape>
        </dgm:else>
      </dgm:choose>
      <dgm:presOf/>
      <dgm:constrLst/>
      <dgm:ruleLst/>
    </dgm:layoutNode>
    <dgm:layoutNode name="linearProcess">
      <dgm:choose name="Name3">
        <dgm:if name="Name4" func="var" arg="dir" op="equ" val="norm">
          <dgm:alg type="lin"/>
        </dgm:if>
        <dgm:else name="Name5">
          <dgm:alg type="lin">
            <dgm:param type="linDir" val="fromR"/>
          </dgm:alg>
        </dgm:else>
      </dgm:choose>
      <dgm:shape xmlns:r="http://schemas.openxmlformats.org/officeDocument/2006/relationships" r:blip="">
        <dgm:adjLst/>
      </dgm:shape>
      <dgm:presOf/>
      <dgm:constrLst>
        <dgm:constr type="userA" for="ch" ptType="node" refType="w"/>
        <dgm:constr type="h" for="ch" ptType="node" refType="h"/>
        <dgm:constr type="w" for="ch" ptType="node" op="equ"/>
        <dgm:constr type="w" for="ch" forName="sibTrans" refType="w" fact="0.05"/>
        <dgm:constr type="primFontSz" for="ch" ptType="node" op="equ" val="65"/>
      </dgm:constrLst>
      <dgm:ruleLst/>
      <dgm:forEach name="Name6" axis="ch" ptType="node">
        <dgm:layoutNode name="textNode" styleLbl="node1">
          <dgm:varLst>
            <dgm:bulletEnabled val="1"/>
          </dgm:varLst>
          <dgm:alg type="tx"/>
          <dgm:shape xmlns:r="http://schemas.openxmlformats.org/officeDocument/2006/relationships" type="roundRect" r:blip="">
            <dgm:adjLst/>
          </dgm:shape>
          <dgm:presOf axis="desOrSelf" ptType="node"/>
          <dgm:constrLst>
            <dgm:constr type="userA"/>
            <dgm:constr type="w" refType="userA" fact="0.3"/>
            <dgm:constr type="tMarg" refType="primFontSz" fact="0.3"/>
            <dgm:constr type="bMarg" refType="primFontSz" fact="0.3"/>
            <dgm:constr type="lMarg" refType="primFontSz" fact="0.3"/>
            <dgm:constr type="rMarg" refType="primFontSz" fact="0.3"/>
          </dgm:constrLst>
          <dgm:ruleLst>
            <dgm:rule type="w" val="NaN" fact="1" max="NaN"/>
            <dgm:rule type="primFontSz" val="5" fact="NaN" max="NaN"/>
          </dgm:ruleLst>
        </dgm:layoutNode>
        <dgm:forEach name="Name7" axis="followSib" ptType="sibTrans" cnt="1">
          <dgm:layoutNode name="sibTrans">
            <dgm:alg type="sp"/>
            <dgm:shape xmlns:r="http://schemas.openxmlformats.org/officeDocument/2006/relationships" r:blip="">
              <dgm:adjLst/>
            </dgm:shape>
            <dgm:presOf/>
            <dgm:constrLst/>
            <dgm:ruleLst/>
          </dgm:layoutNode>
        </dgm:forEach>
      </dgm:forEach>
    </dgm:layoutNode>
  </dgm:layoutNode>
</dgm:layoutDef>
</file>

<file path=xl/diagrams/layout2.xml><?xml version="1.0" encoding="utf-8"?>
<dgm:layoutDef xmlns:dgm="http://schemas.openxmlformats.org/drawingml/2006/diagram" xmlns:a="http://schemas.openxmlformats.org/drawingml/2006/main" uniqueId="urn:microsoft.com/office/officeart/2005/8/layout/matrix3">
  <dgm:title val=""/>
  <dgm:desc val=""/>
  <dgm:catLst>
    <dgm:cat type="matrix" pri="1000"/>
    <dgm:cat type="convert" pri="18000"/>
  </dgm:catLst>
  <dgm:samp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0" destOrd="0"/>
        <dgm:cxn modelId="8" srcId="0" destId="4" srcOrd="1" destOrd="0"/>
      </dgm:cxnLst>
      <dgm:bg/>
      <dgm:whole/>
    </dgm:dataModel>
  </dgm:sampData>
  <dgm:styleData useDef="1">
    <dgm:dataModel>
      <dgm:ptLst/>
      <dgm:bg/>
      <dgm:whole/>
    </dgm:dataModel>
  </dgm:styleData>
  <dgm:clrData useDef="1">
    <dgm:dataModel>
      <dgm:ptLst/>
      <dgm:bg/>
      <dgm:whole/>
    </dgm:dataModel>
  </dgm:clrData>
  <dgm:layoutNode name="matrix">
    <dgm:varLst>
      <dgm:chMax val="1"/>
      <dgm:dir/>
      <dgm:resizeHandles val="exact"/>
    </dgm:varLst>
    <dgm:alg type="composite">
      <dgm:param type="ar" val="1"/>
    </dgm:alg>
    <dgm:shape xmlns:r="http://schemas.openxmlformats.org/officeDocument/2006/relationships" r:blip="">
      <dgm:adjLst/>
    </dgm:shape>
    <dgm:presOf/>
    <dgm:choose name="Name0">
      <dgm:if name="Name1" func="var" arg="dir" op="equ" val="norm">
        <dgm:constrLst>
          <dgm:constr type="w" for="ch" forName="diamond" refType="w"/>
          <dgm:constr type="h" for="ch" forName="diamond" refType="h"/>
          <dgm:constr type="w" for="ch" forName="quad1" refType="w" fact="0.39"/>
          <dgm:constr type="h" for="ch" forName="quad1" refType="h" fact="0.39"/>
          <dgm:constr type="ctrX" for="ch" forName="quad1" refType="w" fact="0.29"/>
          <dgm:constr type="ctrY" for="ch" forName="quad1" refType="h" fact="0.29"/>
          <dgm:constr type="w" for="ch" forName="quad2" refType="w" fact="0.39"/>
          <dgm:constr type="h" for="ch" forName="quad2" refType="h" fact="0.39"/>
          <dgm:constr type="ctrX" for="ch" forName="quad2" refType="w" fact="0.71"/>
          <dgm:constr type="ctrY" for="ch" forName="quad2" refType="h" fact="0.29"/>
          <dgm:constr type="w" for="ch" forName="quad3" refType="w" fact="0.39"/>
          <dgm:constr type="h" for="ch" forName="quad3" refType="h" fact="0.39"/>
          <dgm:constr type="ctrX" for="ch" forName="quad3" refType="w" fact="0.29"/>
          <dgm:constr type="ctrY" for="ch" forName="quad3" refType="h" fact="0.71"/>
          <dgm:constr type="w" for="ch" forName="quad4" refType="w" fact="0.39"/>
          <dgm:constr type="h" for="ch" forName="quad4" refType="h" fact="0.39"/>
          <dgm:constr type="ctrX" for="ch" forName="quad4" refType="w" fact="0.71"/>
          <dgm:constr type="ctrY" for="ch" forName="quad4" refType="h" fact="0.71"/>
          <dgm:constr type="primFontSz" for="des" ptType="node" op="equ" val="65"/>
        </dgm:constrLst>
      </dgm:if>
      <dgm:else name="Name2">
        <dgm:constrLst>
          <dgm:constr type="w" for="ch" forName="diamond" refType="w"/>
          <dgm:constr type="h" for="ch" forName="diamond" refType="h"/>
          <dgm:constr type="w" for="ch" forName="quad1" refType="w" fact="0.39"/>
          <dgm:constr type="h" for="ch" forName="quad1" refType="h" fact="0.39"/>
          <dgm:constr type="ctrX" for="ch" forName="quad1" refType="w" fact="0.71"/>
          <dgm:constr type="ctrY" for="ch" forName="quad1" refType="h" fact="0.29"/>
          <dgm:constr type="w" for="ch" forName="quad2" refType="w" fact="0.39"/>
          <dgm:constr type="h" for="ch" forName="quad2" refType="h" fact="0.39"/>
          <dgm:constr type="ctrX" for="ch" forName="quad2" refType="w" fact="0.29"/>
          <dgm:constr type="ctrY" for="ch" forName="quad2" refType="h" fact="0.29"/>
          <dgm:constr type="w" for="ch" forName="quad3" refType="w" fact="0.39"/>
          <dgm:constr type="h" for="ch" forName="quad3" refType="h" fact="0.39"/>
          <dgm:constr type="ctrX" for="ch" forName="quad3" refType="w" fact="0.71"/>
          <dgm:constr type="ctrY" for="ch" forName="quad3" refType="h" fact="0.71"/>
          <dgm:constr type="w" for="ch" forName="quad4" refType="w" fact="0.39"/>
          <dgm:constr type="h" for="ch" forName="quad4" refType="h" fact="0.39"/>
          <dgm:constr type="ctrX" for="ch" forName="quad4" refType="w" fact="0.29"/>
          <dgm:constr type="ctrY" for="ch" forName="quad4" refType="h" fact="0.71"/>
          <dgm:constr type="primFontSz" for="des" ptType="node" op="equ" val="65"/>
        </dgm:constrLst>
      </dgm:else>
    </dgm:choose>
    <dgm:ruleLst/>
    <dgm:choose name="Name3">
      <dgm:if name="Name4" axis="ch" ptType="node" func="cnt" op="gte" val="1">
        <dgm:layoutNode name="diamond" styleLbl="bgShp">
          <dgm:alg type="sp"/>
          <dgm:shape xmlns:r="http://schemas.openxmlformats.org/officeDocument/2006/relationships" type="diamond" r:blip="">
            <dgm:adjLst/>
          </dgm:shape>
          <dgm:presOf/>
          <dgm:constrLst>
            <dgm:constr type="w" refType="h" op="equ"/>
          </dgm:constrLst>
          <dgm:ruleLst/>
        </dgm:layoutNode>
        <dgm:layoutNode name="quad1">
          <dgm:varLst>
            <dgm:chMax val="0"/>
            <dgm:chPref val="0"/>
            <dgm:bulletEnabled val="1"/>
          </dgm:varLst>
          <dgm:alg type="tx"/>
          <dgm:shape xmlns:r="http://schemas.openxmlformats.org/officeDocument/2006/relationships" type="roundRect" r:blip="">
            <dgm:adjLst/>
          </dgm:shape>
          <dgm:presOf axis="ch desOrSelf" ptType="node node" st="1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2">
          <dgm:varLst>
            <dgm:chMax val="0"/>
            <dgm:chPref val="0"/>
            <dgm:bulletEnabled val="1"/>
          </dgm:varLst>
          <dgm:alg type="tx"/>
          <dgm:shape xmlns:r="http://schemas.openxmlformats.org/officeDocument/2006/relationships" type="roundRect" r:blip="">
            <dgm:adjLst/>
          </dgm:shape>
          <dgm:presOf axis="ch desOrSelf" ptType="node node" st="2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3">
          <dgm:varLst>
            <dgm:chMax val="0"/>
            <dgm:chPref val="0"/>
            <dgm:bulletEnabled val="1"/>
          </dgm:varLst>
          <dgm:alg type="tx"/>
          <dgm:shape xmlns:r="http://schemas.openxmlformats.org/officeDocument/2006/relationships" type="roundRect" r:blip="">
            <dgm:adjLst/>
          </dgm:shape>
          <dgm:presOf axis="ch desOrSelf" ptType="node node" st="3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4">
          <dgm:varLst>
            <dgm:chMax val="0"/>
            <dgm:chPref val="0"/>
            <dgm:bulletEnabled val="1"/>
          </dgm:varLst>
          <dgm:alg type="tx"/>
          <dgm:shape xmlns:r="http://schemas.openxmlformats.org/officeDocument/2006/relationships" type="roundRect" r:blip="">
            <dgm:adjLst/>
          </dgm:shape>
          <dgm:presOf axis="ch desOrSelf" ptType="node node" st="4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if>
      <dgm:else name="Name5"/>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image" Target="../media/image2.emf"/><Relationship Id="rId3" Type="http://schemas.openxmlformats.org/officeDocument/2006/relationships/image" Target="../media/image12.emf"/><Relationship Id="rId7" Type="http://schemas.openxmlformats.org/officeDocument/2006/relationships/image" Target="../media/image8.emf"/><Relationship Id="rId12" Type="http://schemas.openxmlformats.org/officeDocument/2006/relationships/image" Target="../media/image3.emf"/><Relationship Id="rId2" Type="http://schemas.openxmlformats.org/officeDocument/2006/relationships/image" Target="../media/image13.emf"/><Relationship Id="rId1" Type="http://schemas.openxmlformats.org/officeDocument/2006/relationships/image" Target="../media/image14.emf"/><Relationship Id="rId6" Type="http://schemas.openxmlformats.org/officeDocument/2006/relationships/image" Target="../media/image9.emf"/><Relationship Id="rId11" Type="http://schemas.openxmlformats.org/officeDocument/2006/relationships/image" Target="../media/image4.emf"/><Relationship Id="rId5" Type="http://schemas.openxmlformats.org/officeDocument/2006/relationships/image" Target="../media/image10.emf"/><Relationship Id="rId10" Type="http://schemas.openxmlformats.org/officeDocument/2006/relationships/image" Target="../media/image5.emf"/><Relationship Id="rId4" Type="http://schemas.openxmlformats.org/officeDocument/2006/relationships/image" Target="../media/image11.emf"/><Relationship Id="rId9" Type="http://schemas.openxmlformats.org/officeDocument/2006/relationships/image" Target="../media/image6.emf"/><Relationship Id="rId1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16</xdr:col>
      <xdr:colOff>457200</xdr:colOff>
      <xdr:row>104</xdr:row>
      <xdr:rowOff>38100</xdr:rowOff>
    </xdr:from>
    <xdr:to>
      <xdr:col>17</xdr:col>
      <xdr:colOff>180975</xdr:colOff>
      <xdr:row>104</xdr:row>
      <xdr:rowOff>38100</xdr:rowOff>
    </xdr:to>
    <xdr:sp macro="" textlink="">
      <xdr:nvSpPr>
        <xdr:cNvPr id="6" name="Line 19"/>
        <xdr:cNvSpPr>
          <a:spLocks noChangeShapeType="1"/>
        </xdr:cNvSpPr>
      </xdr:nvSpPr>
      <xdr:spPr bwMode="auto">
        <a:xfrm>
          <a:off x="17545050" y="14535150"/>
          <a:ext cx="333375" cy="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809625</xdr:colOff>
      <xdr:row>48</xdr:row>
      <xdr:rowOff>76200</xdr:rowOff>
    </xdr:from>
    <xdr:to>
      <xdr:col>10</xdr:col>
      <xdr:colOff>1181100</xdr:colOff>
      <xdr:row>48</xdr:row>
      <xdr:rowOff>76200</xdr:rowOff>
    </xdr:to>
    <xdr:sp macro="" textlink="">
      <xdr:nvSpPr>
        <xdr:cNvPr id="9" name="Line 51"/>
        <xdr:cNvSpPr>
          <a:spLocks noChangeShapeType="1"/>
        </xdr:cNvSpPr>
      </xdr:nvSpPr>
      <xdr:spPr bwMode="auto">
        <a:xfrm>
          <a:off x="10410825" y="8601075"/>
          <a:ext cx="371475" cy="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485775</xdr:colOff>
          <xdr:row>66</xdr:row>
          <xdr:rowOff>28575</xdr:rowOff>
        </xdr:from>
        <xdr:to>
          <xdr:col>1</xdr:col>
          <xdr:colOff>657225</xdr:colOff>
          <xdr:row>67</xdr:row>
          <xdr:rowOff>28575</xdr:rowOff>
        </xdr:to>
        <xdr:sp macro="" textlink="">
          <xdr:nvSpPr>
            <xdr:cNvPr id="2049" name="CheckBox3"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19</xdr:row>
          <xdr:rowOff>0</xdr:rowOff>
        </xdr:from>
        <xdr:to>
          <xdr:col>7</xdr:col>
          <xdr:colOff>533400</xdr:colOff>
          <xdr:row>19</xdr:row>
          <xdr:rowOff>152400</xdr:rowOff>
        </xdr:to>
        <xdr:sp macro="" textlink="">
          <xdr:nvSpPr>
            <xdr:cNvPr id="2050" name="CheckBox6"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361950</xdr:colOff>
          <xdr:row>19</xdr:row>
          <xdr:rowOff>0</xdr:rowOff>
        </xdr:from>
        <xdr:to>
          <xdr:col>8</xdr:col>
          <xdr:colOff>533400</xdr:colOff>
          <xdr:row>19</xdr:row>
          <xdr:rowOff>152400</xdr:rowOff>
        </xdr:to>
        <xdr:sp macro="" textlink="">
          <xdr:nvSpPr>
            <xdr:cNvPr id="2051" name="CheckBox7" hidden="1">
              <a:extLst>
                <a:ext uri="{63B3BB69-23CF-44E3-9099-C40C66FF867C}">
                  <a14:compatExt spid="_x0000_s2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66</xdr:row>
          <xdr:rowOff>38100</xdr:rowOff>
        </xdr:from>
        <xdr:to>
          <xdr:col>4</xdr:col>
          <xdr:colOff>266700</xdr:colOff>
          <xdr:row>67</xdr:row>
          <xdr:rowOff>38100</xdr:rowOff>
        </xdr:to>
        <xdr:sp macro="" textlink="">
          <xdr:nvSpPr>
            <xdr:cNvPr id="2052" name="CheckBox8" hidden="1">
              <a:extLst>
                <a:ext uri="{63B3BB69-23CF-44E3-9099-C40C66FF867C}">
                  <a14:compatExt spid="_x0000_s2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78</xdr:row>
          <xdr:rowOff>28575</xdr:rowOff>
        </xdr:from>
        <xdr:to>
          <xdr:col>6</xdr:col>
          <xdr:colOff>857250</xdr:colOff>
          <xdr:row>79</xdr:row>
          <xdr:rowOff>19051</xdr:rowOff>
        </xdr:to>
        <xdr:sp macro="" textlink="">
          <xdr:nvSpPr>
            <xdr:cNvPr id="2053" name="CheckBox15" hidden="1">
              <a:extLst>
                <a:ext uri="{63B3BB69-23CF-44E3-9099-C40C66FF867C}">
                  <a14:compatExt spid="_x0000_s2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78</xdr:row>
          <xdr:rowOff>28575</xdr:rowOff>
        </xdr:from>
        <xdr:to>
          <xdr:col>6</xdr:col>
          <xdr:colOff>171450</xdr:colOff>
          <xdr:row>79</xdr:row>
          <xdr:rowOff>19051</xdr:rowOff>
        </xdr:to>
        <xdr:sp macro="" textlink="">
          <xdr:nvSpPr>
            <xdr:cNvPr id="2054" name="CheckBox5" hidden="1">
              <a:extLst>
                <a:ext uri="{63B3BB69-23CF-44E3-9099-C40C66FF867C}">
                  <a14:compatExt spid="_x0000_s2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276225</xdr:colOff>
          <xdr:row>78</xdr:row>
          <xdr:rowOff>28575</xdr:rowOff>
        </xdr:from>
        <xdr:to>
          <xdr:col>5</xdr:col>
          <xdr:colOff>419100</xdr:colOff>
          <xdr:row>79</xdr:row>
          <xdr:rowOff>19051</xdr:rowOff>
        </xdr:to>
        <xdr:sp macro="" textlink="">
          <xdr:nvSpPr>
            <xdr:cNvPr id="2055" name="CheckBox9"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866775</xdr:colOff>
          <xdr:row>78</xdr:row>
          <xdr:rowOff>9525</xdr:rowOff>
        </xdr:from>
        <xdr:to>
          <xdr:col>5</xdr:col>
          <xdr:colOff>19050</xdr:colOff>
          <xdr:row>79</xdr:row>
          <xdr:rowOff>9526</xdr:rowOff>
        </xdr:to>
        <xdr:sp macro="" textlink="">
          <xdr:nvSpPr>
            <xdr:cNvPr id="2056" name="CheckBox10"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752475</xdr:colOff>
          <xdr:row>78</xdr:row>
          <xdr:rowOff>9525</xdr:rowOff>
        </xdr:from>
        <xdr:to>
          <xdr:col>3</xdr:col>
          <xdr:colOff>895350</xdr:colOff>
          <xdr:row>79</xdr:row>
          <xdr:rowOff>9526</xdr:rowOff>
        </xdr:to>
        <xdr:sp macro="" textlink="">
          <xdr:nvSpPr>
            <xdr:cNvPr id="2057" name="CheckBox11" hidden="1">
              <a:extLst>
                <a:ext uri="{63B3BB69-23CF-44E3-9099-C40C66FF867C}">
                  <a14:compatExt spid="_x0000_s2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78</xdr:row>
          <xdr:rowOff>19050</xdr:rowOff>
        </xdr:from>
        <xdr:to>
          <xdr:col>2</xdr:col>
          <xdr:colOff>190500</xdr:colOff>
          <xdr:row>79</xdr:row>
          <xdr:rowOff>19051</xdr:rowOff>
        </xdr:to>
        <xdr:sp macro="" textlink="">
          <xdr:nvSpPr>
            <xdr:cNvPr id="2058" name="CheckBox13"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78</xdr:row>
          <xdr:rowOff>9525</xdr:rowOff>
        </xdr:from>
        <xdr:to>
          <xdr:col>0</xdr:col>
          <xdr:colOff>152400</xdr:colOff>
          <xdr:row>79</xdr:row>
          <xdr:rowOff>9526</xdr:rowOff>
        </xdr:to>
        <xdr:sp macro="" textlink="">
          <xdr:nvSpPr>
            <xdr:cNvPr id="2059" name="CheckBox14" hidden="1">
              <a:extLst>
                <a:ext uri="{63B3BB69-23CF-44E3-9099-C40C66FF867C}">
                  <a14:compatExt spid="_x0000_s2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66</xdr:row>
          <xdr:rowOff>57150</xdr:rowOff>
        </xdr:from>
        <xdr:to>
          <xdr:col>2</xdr:col>
          <xdr:colOff>685800</xdr:colOff>
          <xdr:row>67</xdr:row>
          <xdr:rowOff>28575</xdr:rowOff>
        </xdr:to>
        <xdr:sp macro="" textlink="">
          <xdr:nvSpPr>
            <xdr:cNvPr id="2060" name="CheckBox16" hidden="1">
              <a:extLst>
                <a:ext uri="{63B3BB69-23CF-44E3-9099-C40C66FF867C}">
                  <a14:compatExt spid="_x0000_s2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1085850</xdr:colOff>
          <xdr:row>66</xdr:row>
          <xdr:rowOff>47625</xdr:rowOff>
        </xdr:from>
        <xdr:to>
          <xdr:col>2</xdr:col>
          <xdr:colOff>123825</xdr:colOff>
          <xdr:row>67</xdr:row>
          <xdr:rowOff>47625</xdr:rowOff>
        </xdr:to>
        <xdr:sp macro="" textlink="">
          <xdr:nvSpPr>
            <xdr:cNvPr id="2061" name="CheckBox4"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847725</xdr:colOff>
          <xdr:row>78</xdr:row>
          <xdr:rowOff>19050</xdr:rowOff>
        </xdr:from>
        <xdr:to>
          <xdr:col>2</xdr:col>
          <xdr:colOff>990600</xdr:colOff>
          <xdr:row>79</xdr:row>
          <xdr:rowOff>19051</xdr:rowOff>
        </xdr:to>
        <xdr:sp macro="" textlink="">
          <xdr:nvSpPr>
            <xdr:cNvPr id="2062" name="CheckBox17"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xdr:twoCellAnchor>
    <xdr:from>
      <xdr:col>2</xdr:col>
      <xdr:colOff>615456</xdr:colOff>
      <xdr:row>0</xdr:row>
      <xdr:rowOff>41413</xdr:rowOff>
    </xdr:from>
    <xdr:to>
      <xdr:col>8</xdr:col>
      <xdr:colOff>142876</xdr:colOff>
      <xdr:row>13</xdr:row>
      <xdr:rowOff>93179</xdr:rowOff>
    </xdr:to>
    <xdr:graphicFrame macro="">
      <xdr:nvGraphicFramePr>
        <xdr:cNvPr id="32" name="Diagram 3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448503</xdr:colOff>
      <xdr:row>0</xdr:row>
      <xdr:rowOff>0</xdr:rowOff>
    </xdr:from>
    <xdr:to>
      <xdr:col>2</xdr:col>
      <xdr:colOff>890381</xdr:colOff>
      <xdr:row>13</xdr:row>
      <xdr:rowOff>72473</xdr:rowOff>
    </xdr:to>
    <xdr:graphicFrame macro="">
      <xdr:nvGraphicFramePr>
        <xdr:cNvPr id="33" name="Diagram 3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26" Type="http://schemas.openxmlformats.org/officeDocument/2006/relationships/control" Target="../activeX/activeX12.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5" Type="http://schemas.openxmlformats.org/officeDocument/2006/relationships/image" Target="../media/image11.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29" Type="http://schemas.openxmlformats.org/officeDocument/2006/relationships/image" Target="../media/image13.emf"/><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24" Type="http://schemas.openxmlformats.org/officeDocument/2006/relationships/control" Target="../activeX/activeX11.xml"/><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control" Target="../activeX/activeX13.xml"/><Relationship Id="rId10" Type="http://schemas.openxmlformats.org/officeDocument/2006/relationships/control" Target="../activeX/activeX4.xml"/><Relationship Id="rId19" Type="http://schemas.openxmlformats.org/officeDocument/2006/relationships/image" Target="../media/image8.emf"/><Relationship Id="rId31" Type="http://schemas.openxmlformats.org/officeDocument/2006/relationships/image" Target="../media/image14.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2.emf"/><Relationship Id="rId30" Type="http://schemas.openxmlformats.org/officeDocument/2006/relationships/control" Target="../activeX/activeX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N117"/>
  <sheetViews>
    <sheetView tabSelected="1" view="pageBreakPreview" zoomScale="55" zoomScaleNormal="85" zoomScaleSheetLayoutView="55" workbookViewId="0">
      <selection activeCell="H23" sqref="H23:H24"/>
    </sheetView>
  </sheetViews>
  <sheetFormatPr defaultRowHeight="12.75" x14ac:dyDescent="0.2"/>
  <cols>
    <col min="1" max="1" width="20.5703125" style="1" customWidth="1"/>
    <col min="2" max="2" width="17.140625" style="1" customWidth="1"/>
    <col min="3" max="3" width="19.5703125" style="1" customWidth="1"/>
    <col min="4" max="7" width="14.85546875" style="1" customWidth="1"/>
    <col min="8" max="8" width="17.28515625" style="1" customWidth="1"/>
    <col min="9" max="9" width="17" style="1" customWidth="1"/>
    <col min="10" max="10" width="5.28515625" style="1" customWidth="1"/>
    <col min="11" max="11" width="64.85546875" style="1" customWidth="1"/>
    <col min="12" max="13" width="9.140625" style="1"/>
    <col min="14" max="14" width="10.85546875" style="1" bestFit="1" customWidth="1"/>
    <col min="15" max="255" width="9.140625" style="1"/>
    <col min="256" max="256" width="14.85546875" style="1" customWidth="1"/>
    <col min="257" max="257" width="17.140625" style="1" customWidth="1"/>
    <col min="258" max="264" width="14.85546875" style="1" customWidth="1"/>
    <col min="265" max="265" width="1.42578125" style="1" customWidth="1"/>
    <col min="266" max="266" width="6.5703125" style="1" customWidth="1"/>
    <col min="267" max="267" width="64.85546875" style="1" customWidth="1"/>
    <col min="268" max="269" width="9.140625" style="1"/>
    <col min="270" max="270" width="10.85546875" style="1" bestFit="1" customWidth="1"/>
    <col min="271" max="511" width="9.140625" style="1"/>
    <col min="512" max="512" width="14.85546875" style="1" customWidth="1"/>
    <col min="513" max="513" width="17.140625" style="1" customWidth="1"/>
    <col min="514" max="520" width="14.85546875" style="1" customWidth="1"/>
    <col min="521" max="521" width="1.42578125" style="1" customWidth="1"/>
    <col min="522" max="522" width="6.5703125" style="1" customWidth="1"/>
    <col min="523" max="523" width="64.85546875" style="1" customWidth="1"/>
    <col min="524" max="525" width="9.140625" style="1"/>
    <col min="526" max="526" width="10.85546875" style="1" bestFit="1" customWidth="1"/>
    <col min="527" max="767" width="9.140625" style="1"/>
    <col min="768" max="768" width="14.85546875" style="1" customWidth="1"/>
    <col min="769" max="769" width="17.140625" style="1" customWidth="1"/>
    <col min="770" max="776" width="14.85546875" style="1" customWidth="1"/>
    <col min="777" max="777" width="1.42578125" style="1" customWidth="1"/>
    <col min="778" max="778" width="6.5703125" style="1" customWidth="1"/>
    <col min="779" max="779" width="64.85546875" style="1" customWidth="1"/>
    <col min="780" max="781" width="9.140625" style="1"/>
    <col min="782" max="782" width="10.85546875" style="1" bestFit="1" customWidth="1"/>
    <col min="783" max="1023" width="9.140625" style="1"/>
    <col min="1024" max="1024" width="14.85546875" style="1" customWidth="1"/>
    <col min="1025" max="1025" width="17.140625" style="1" customWidth="1"/>
    <col min="1026" max="1032" width="14.85546875" style="1" customWidth="1"/>
    <col min="1033" max="1033" width="1.42578125" style="1" customWidth="1"/>
    <col min="1034" max="1034" width="6.5703125" style="1" customWidth="1"/>
    <col min="1035" max="1035" width="64.85546875" style="1" customWidth="1"/>
    <col min="1036" max="1037" width="9.140625" style="1"/>
    <col min="1038" max="1038" width="10.85546875" style="1" bestFit="1" customWidth="1"/>
    <col min="1039" max="1279" width="9.140625" style="1"/>
    <col min="1280" max="1280" width="14.85546875" style="1" customWidth="1"/>
    <col min="1281" max="1281" width="17.140625" style="1" customWidth="1"/>
    <col min="1282" max="1288" width="14.85546875" style="1" customWidth="1"/>
    <col min="1289" max="1289" width="1.42578125" style="1" customWidth="1"/>
    <col min="1290" max="1290" width="6.5703125" style="1" customWidth="1"/>
    <col min="1291" max="1291" width="64.85546875" style="1" customWidth="1"/>
    <col min="1292" max="1293" width="9.140625" style="1"/>
    <col min="1294" max="1294" width="10.85546875" style="1" bestFit="1" customWidth="1"/>
    <col min="1295" max="1535" width="9.140625" style="1"/>
    <col min="1536" max="1536" width="14.85546875" style="1" customWidth="1"/>
    <col min="1537" max="1537" width="17.140625" style="1" customWidth="1"/>
    <col min="1538" max="1544" width="14.85546875" style="1" customWidth="1"/>
    <col min="1545" max="1545" width="1.42578125" style="1" customWidth="1"/>
    <col min="1546" max="1546" width="6.5703125" style="1" customWidth="1"/>
    <col min="1547" max="1547" width="64.85546875" style="1" customWidth="1"/>
    <col min="1548" max="1549" width="9.140625" style="1"/>
    <col min="1550" max="1550" width="10.85546875" style="1" bestFit="1" customWidth="1"/>
    <col min="1551" max="1791" width="9.140625" style="1"/>
    <col min="1792" max="1792" width="14.85546875" style="1" customWidth="1"/>
    <col min="1793" max="1793" width="17.140625" style="1" customWidth="1"/>
    <col min="1794" max="1800" width="14.85546875" style="1" customWidth="1"/>
    <col min="1801" max="1801" width="1.42578125" style="1" customWidth="1"/>
    <col min="1802" max="1802" width="6.5703125" style="1" customWidth="1"/>
    <col min="1803" max="1803" width="64.85546875" style="1" customWidth="1"/>
    <col min="1804" max="1805" width="9.140625" style="1"/>
    <col min="1806" max="1806" width="10.85546875" style="1" bestFit="1" customWidth="1"/>
    <col min="1807" max="2047" width="9.140625" style="1"/>
    <col min="2048" max="2048" width="14.85546875" style="1" customWidth="1"/>
    <col min="2049" max="2049" width="17.140625" style="1" customWidth="1"/>
    <col min="2050" max="2056" width="14.85546875" style="1" customWidth="1"/>
    <col min="2057" max="2057" width="1.42578125" style="1" customWidth="1"/>
    <col min="2058" max="2058" width="6.5703125" style="1" customWidth="1"/>
    <col min="2059" max="2059" width="64.85546875" style="1" customWidth="1"/>
    <col min="2060" max="2061" width="9.140625" style="1"/>
    <col min="2062" max="2062" width="10.85546875" style="1" bestFit="1" customWidth="1"/>
    <col min="2063" max="2303" width="9.140625" style="1"/>
    <col min="2304" max="2304" width="14.85546875" style="1" customWidth="1"/>
    <col min="2305" max="2305" width="17.140625" style="1" customWidth="1"/>
    <col min="2306" max="2312" width="14.85546875" style="1" customWidth="1"/>
    <col min="2313" max="2313" width="1.42578125" style="1" customWidth="1"/>
    <col min="2314" max="2314" width="6.5703125" style="1" customWidth="1"/>
    <col min="2315" max="2315" width="64.85546875" style="1" customWidth="1"/>
    <col min="2316" max="2317" width="9.140625" style="1"/>
    <col min="2318" max="2318" width="10.85546875" style="1" bestFit="1" customWidth="1"/>
    <col min="2319" max="2559" width="9.140625" style="1"/>
    <col min="2560" max="2560" width="14.85546875" style="1" customWidth="1"/>
    <col min="2561" max="2561" width="17.140625" style="1" customWidth="1"/>
    <col min="2562" max="2568" width="14.85546875" style="1" customWidth="1"/>
    <col min="2569" max="2569" width="1.42578125" style="1" customWidth="1"/>
    <col min="2570" max="2570" width="6.5703125" style="1" customWidth="1"/>
    <col min="2571" max="2571" width="64.85546875" style="1" customWidth="1"/>
    <col min="2572" max="2573" width="9.140625" style="1"/>
    <col min="2574" max="2574" width="10.85546875" style="1" bestFit="1" customWidth="1"/>
    <col min="2575" max="2815" width="9.140625" style="1"/>
    <col min="2816" max="2816" width="14.85546875" style="1" customWidth="1"/>
    <col min="2817" max="2817" width="17.140625" style="1" customWidth="1"/>
    <col min="2818" max="2824" width="14.85546875" style="1" customWidth="1"/>
    <col min="2825" max="2825" width="1.42578125" style="1" customWidth="1"/>
    <col min="2826" max="2826" width="6.5703125" style="1" customWidth="1"/>
    <col min="2827" max="2827" width="64.85546875" style="1" customWidth="1"/>
    <col min="2828" max="2829" width="9.140625" style="1"/>
    <col min="2830" max="2830" width="10.85546875" style="1" bestFit="1" customWidth="1"/>
    <col min="2831" max="3071" width="9.140625" style="1"/>
    <col min="3072" max="3072" width="14.85546875" style="1" customWidth="1"/>
    <col min="3073" max="3073" width="17.140625" style="1" customWidth="1"/>
    <col min="3074" max="3080" width="14.85546875" style="1" customWidth="1"/>
    <col min="3081" max="3081" width="1.42578125" style="1" customWidth="1"/>
    <col min="3082" max="3082" width="6.5703125" style="1" customWidth="1"/>
    <col min="3083" max="3083" width="64.85546875" style="1" customWidth="1"/>
    <col min="3084" max="3085" width="9.140625" style="1"/>
    <col min="3086" max="3086" width="10.85546875" style="1" bestFit="1" customWidth="1"/>
    <col min="3087" max="3327" width="9.140625" style="1"/>
    <col min="3328" max="3328" width="14.85546875" style="1" customWidth="1"/>
    <col min="3329" max="3329" width="17.140625" style="1" customWidth="1"/>
    <col min="3330" max="3336" width="14.85546875" style="1" customWidth="1"/>
    <col min="3337" max="3337" width="1.42578125" style="1" customWidth="1"/>
    <col min="3338" max="3338" width="6.5703125" style="1" customWidth="1"/>
    <col min="3339" max="3339" width="64.85546875" style="1" customWidth="1"/>
    <col min="3340" max="3341" width="9.140625" style="1"/>
    <col min="3342" max="3342" width="10.85546875" style="1" bestFit="1" customWidth="1"/>
    <col min="3343" max="3583" width="9.140625" style="1"/>
    <col min="3584" max="3584" width="14.85546875" style="1" customWidth="1"/>
    <col min="3585" max="3585" width="17.140625" style="1" customWidth="1"/>
    <col min="3586" max="3592" width="14.85546875" style="1" customWidth="1"/>
    <col min="3593" max="3593" width="1.42578125" style="1" customWidth="1"/>
    <col min="3594" max="3594" width="6.5703125" style="1" customWidth="1"/>
    <col min="3595" max="3595" width="64.85546875" style="1" customWidth="1"/>
    <col min="3596" max="3597" width="9.140625" style="1"/>
    <col min="3598" max="3598" width="10.85546875" style="1" bestFit="1" customWidth="1"/>
    <col min="3599" max="3839" width="9.140625" style="1"/>
    <col min="3840" max="3840" width="14.85546875" style="1" customWidth="1"/>
    <col min="3841" max="3841" width="17.140625" style="1" customWidth="1"/>
    <col min="3842" max="3848" width="14.85546875" style="1" customWidth="1"/>
    <col min="3849" max="3849" width="1.42578125" style="1" customWidth="1"/>
    <col min="3850" max="3850" width="6.5703125" style="1" customWidth="1"/>
    <col min="3851" max="3851" width="64.85546875" style="1" customWidth="1"/>
    <col min="3852" max="3853" width="9.140625" style="1"/>
    <col min="3854" max="3854" width="10.85546875" style="1" bestFit="1" customWidth="1"/>
    <col min="3855" max="4095" width="9.140625" style="1"/>
    <col min="4096" max="4096" width="14.85546875" style="1" customWidth="1"/>
    <col min="4097" max="4097" width="17.140625" style="1" customWidth="1"/>
    <col min="4098" max="4104" width="14.85546875" style="1" customWidth="1"/>
    <col min="4105" max="4105" width="1.42578125" style="1" customWidth="1"/>
    <col min="4106" max="4106" width="6.5703125" style="1" customWidth="1"/>
    <col min="4107" max="4107" width="64.85546875" style="1" customWidth="1"/>
    <col min="4108" max="4109" width="9.140625" style="1"/>
    <col min="4110" max="4110" width="10.85546875" style="1" bestFit="1" customWidth="1"/>
    <col min="4111" max="4351" width="9.140625" style="1"/>
    <col min="4352" max="4352" width="14.85546875" style="1" customWidth="1"/>
    <col min="4353" max="4353" width="17.140625" style="1" customWidth="1"/>
    <col min="4354" max="4360" width="14.85546875" style="1" customWidth="1"/>
    <col min="4361" max="4361" width="1.42578125" style="1" customWidth="1"/>
    <col min="4362" max="4362" width="6.5703125" style="1" customWidth="1"/>
    <col min="4363" max="4363" width="64.85546875" style="1" customWidth="1"/>
    <col min="4364" max="4365" width="9.140625" style="1"/>
    <col min="4366" max="4366" width="10.85546875" style="1" bestFit="1" customWidth="1"/>
    <col min="4367" max="4607" width="9.140625" style="1"/>
    <col min="4608" max="4608" width="14.85546875" style="1" customWidth="1"/>
    <col min="4609" max="4609" width="17.140625" style="1" customWidth="1"/>
    <col min="4610" max="4616" width="14.85546875" style="1" customWidth="1"/>
    <col min="4617" max="4617" width="1.42578125" style="1" customWidth="1"/>
    <col min="4618" max="4618" width="6.5703125" style="1" customWidth="1"/>
    <col min="4619" max="4619" width="64.85546875" style="1" customWidth="1"/>
    <col min="4620" max="4621" width="9.140625" style="1"/>
    <col min="4622" max="4622" width="10.85546875" style="1" bestFit="1" customWidth="1"/>
    <col min="4623" max="4863" width="9.140625" style="1"/>
    <col min="4864" max="4864" width="14.85546875" style="1" customWidth="1"/>
    <col min="4865" max="4865" width="17.140625" style="1" customWidth="1"/>
    <col min="4866" max="4872" width="14.85546875" style="1" customWidth="1"/>
    <col min="4873" max="4873" width="1.42578125" style="1" customWidth="1"/>
    <col min="4874" max="4874" width="6.5703125" style="1" customWidth="1"/>
    <col min="4875" max="4875" width="64.85546875" style="1" customWidth="1"/>
    <col min="4876" max="4877" width="9.140625" style="1"/>
    <col min="4878" max="4878" width="10.85546875" style="1" bestFit="1" customWidth="1"/>
    <col min="4879" max="5119" width="9.140625" style="1"/>
    <col min="5120" max="5120" width="14.85546875" style="1" customWidth="1"/>
    <col min="5121" max="5121" width="17.140625" style="1" customWidth="1"/>
    <col min="5122" max="5128" width="14.85546875" style="1" customWidth="1"/>
    <col min="5129" max="5129" width="1.42578125" style="1" customWidth="1"/>
    <col min="5130" max="5130" width="6.5703125" style="1" customWidth="1"/>
    <col min="5131" max="5131" width="64.85546875" style="1" customWidth="1"/>
    <col min="5132" max="5133" width="9.140625" style="1"/>
    <col min="5134" max="5134" width="10.85546875" style="1" bestFit="1" customWidth="1"/>
    <col min="5135" max="5375" width="9.140625" style="1"/>
    <col min="5376" max="5376" width="14.85546875" style="1" customWidth="1"/>
    <col min="5377" max="5377" width="17.140625" style="1" customWidth="1"/>
    <col min="5378" max="5384" width="14.85546875" style="1" customWidth="1"/>
    <col min="5385" max="5385" width="1.42578125" style="1" customWidth="1"/>
    <col min="5386" max="5386" width="6.5703125" style="1" customWidth="1"/>
    <col min="5387" max="5387" width="64.85546875" style="1" customWidth="1"/>
    <col min="5388" max="5389" width="9.140625" style="1"/>
    <col min="5390" max="5390" width="10.85546875" style="1" bestFit="1" customWidth="1"/>
    <col min="5391" max="5631" width="9.140625" style="1"/>
    <col min="5632" max="5632" width="14.85546875" style="1" customWidth="1"/>
    <col min="5633" max="5633" width="17.140625" style="1" customWidth="1"/>
    <col min="5634" max="5640" width="14.85546875" style="1" customWidth="1"/>
    <col min="5641" max="5641" width="1.42578125" style="1" customWidth="1"/>
    <col min="5642" max="5642" width="6.5703125" style="1" customWidth="1"/>
    <col min="5643" max="5643" width="64.85546875" style="1" customWidth="1"/>
    <col min="5644" max="5645" width="9.140625" style="1"/>
    <col min="5646" max="5646" width="10.85546875" style="1" bestFit="1" customWidth="1"/>
    <col min="5647" max="5887" width="9.140625" style="1"/>
    <col min="5888" max="5888" width="14.85546875" style="1" customWidth="1"/>
    <col min="5889" max="5889" width="17.140625" style="1" customWidth="1"/>
    <col min="5890" max="5896" width="14.85546875" style="1" customWidth="1"/>
    <col min="5897" max="5897" width="1.42578125" style="1" customWidth="1"/>
    <col min="5898" max="5898" width="6.5703125" style="1" customWidth="1"/>
    <col min="5899" max="5899" width="64.85546875" style="1" customWidth="1"/>
    <col min="5900" max="5901" width="9.140625" style="1"/>
    <col min="5902" max="5902" width="10.85546875" style="1" bestFit="1" customWidth="1"/>
    <col min="5903" max="6143" width="9.140625" style="1"/>
    <col min="6144" max="6144" width="14.85546875" style="1" customWidth="1"/>
    <col min="6145" max="6145" width="17.140625" style="1" customWidth="1"/>
    <col min="6146" max="6152" width="14.85546875" style="1" customWidth="1"/>
    <col min="6153" max="6153" width="1.42578125" style="1" customWidth="1"/>
    <col min="6154" max="6154" width="6.5703125" style="1" customWidth="1"/>
    <col min="6155" max="6155" width="64.85546875" style="1" customWidth="1"/>
    <col min="6156" max="6157" width="9.140625" style="1"/>
    <col min="6158" max="6158" width="10.85546875" style="1" bestFit="1" customWidth="1"/>
    <col min="6159" max="6399" width="9.140625" style="1"/>
    <col min="6400" max="6400" width="14.85546875" style="1" customWidth="1"/>
    <col min="6401" max="6401" width="17.140625" style="1" customWidth="1"/>
    <col min="6402" max="6408" width="14.85546875" style="1" customWidth="1"/>
    <col min="6409" max="6409" width="1.42578125" style="1" customWidth="1"/>
    <col min="6410" max="6410" width="6.5703125" style="1" customWidth="1"/>
    <col min="6411" max="6411" width="64.85546875" style="1" customWidth="1"/>
    <col min="6412" max="6413" width="9.140625" style="1"/>
    <col min="6414" max="6414" width="10.85546875" style="1" bestFit="1" customWidth="1"/>
    <col min="6415" max="6655" width="9.140625" style="1"/>
    <col min="6656" max="6656" width="14.85546875" style="1" customWidth="1"/>
    <col min="6657" max="6657" width="17.140625" style="1" customWidth="1"/>
    <col min="6658" max="6664" width="14.85546875" style="1" customWidth="1"/>
    <col min="6665" max="6665" width="1.42578125" style="1" customWidth="1"/>
    <col min="6666" max="6666" width="6.5703125" style="1" customWidth="1"/>
    <col min="6667" max="6667" width="64.85546875" style="1" customWidth="1"/>
    <col min="6668" max="6669" width="9.140625" style="1"/>
    <col min="6670" max="6670" width="10.85546875" style="1" bestFit="1" customWidth="1"/>
    <col min="6671" max="6911" width="9.140625" style="1"/>
    <col min="6912" max="6912" width="14.85546875" style="1" customWidth="1"/>
    <col min="6913" max="6913" width="17.140625" style="1" customWidth="1"/>
    <col min="6914" max="6920" width="14.85546875" style="1" customWidth="1"/>
    <col min="6921" max="6921" width="1.42578125" style="1" customWidth="1"/>
    <col min="6922" max="6922" width="6.5703125" style="1" customWidth="1"/>
    <col min="6923" max="6923" width="64.85546875" style="1" customWidth="1"/>
    <col min="6924" max="6925" width="9.140625" style="1"/>
    <col min="6926" max="6926" width="10.85546875" style="1" bestFit="1" customWidth="1"/>
    <col min="6927" max="7167" width="9.140625" style="1"/>
    <col min="7168" max="7168" width="14.85546875" style="1" customWidth="1"/>
    <col min="7169" max="7169" width="17.140625" style="1" customWidth="1"/>
    <col min="7170" max="7176" width="14.85546875" style="1" customWidth="1"/>
    <col min="7177" max="7177" width="1.42578125" style="1" customWidth="1"/>
    <col min="7178" max="7178" width="6.5703125" style="1" customWidth="1"/>
    <col min="7179" max="7179" width="64.85546875" style="1" customWidth="1"/>
    <col min="7180" max="7181" width="9.140625" style="1"/>
    <col min="7182" max="7182" width="10.85546875" style="1" bestFit="1" customWidth="1"/>
    <col min="7183" max="7423" width="9.140625" style="1"/>
    <col min="7424" max="7424" width="14.85546875" style="1" customWidth="1"/>
    <col min="7425" max="7425" width="17.140625" style="1" customWidth="1"/>
    <col min="7426" max="7432" width="14.85546875" style="1" customWidth="1"/>
    <col min="7433" max="7433" width="1.42578125" style="1" customWidth="1"/>
    <col min="7434" max="7434" width="6.5703125" style="1" customWidth="1"/>
    <col min="7435" max="7435" width="64.85546875" style="1" customWidth="1"/>
    <col min="7436" max="7437" width="9.140625" style="1"/>
    <col min="7438" max="7438" width="10.85546875" style="1" bestFit="1" customWidth="1"/>
    <col min="7439" max="7679" width="9.140625" style="1"/>
    <col min="7680" max="7680" width="14.85546875" style="1" customWidth="1"/>
    <col min="7681" max="7681" width="17.140625" style="1" customWidth="1"/>
    <col min="7682" max="7688" width="14.85546875" style="1" customWidth="1"/>
    <col min="7689" max="7689" width="1.42578125" style="1" customWidth="1"/>
    <col min="7690" max="7690" width="6.5703125" style="1" customWidth="1"/>
    <col min="7691" max="7691" width="64.85546875" style="1" customWidth="1"/>
    <col min="7692" max="7693" width="9.140625" style="1"/>
    <col min="7694" max="7694" width="10.85546875" style="1" bestFit="1" customWidth="1"/>
    <col min="7695" max="7935" width="9.140625" style="1"/>
    <col min="7936" max="7936" width="14.85546875" style="1" customWidth="1"/>
    <col min="7937" max="7937" width="17.140625" style="1" customWidth="1"/>
    <col min="7938" max="7944" width="14.85546875" style="1" customWidth="1"/>
    <col min="7945" max="7945" width="1.42578125" style="1" customWidth="1"/>
    <col min="7946" max="7946" width="6.5703125" style="1" customWidth="1"/>
    <col min="7947" max="7947" width="64.85546875" style="1" customWidth="1"/>
    <col min="7948" max="7949" width="9.140625" style="1"/>
    <col min="7950" max="7950" width="10.85546875" style="1" bestFit="1" customWidth="1"/>
    <col min="7951" max="8191" width="9.140625" style="1"/>
    <col min="8192" max="8192" width="14.85546875" style="1" customWidth="1"/>
    <col min="8193" max="8193" width="17.140625" style="1" customWidth="1"/>
    <col min="8194" max="8200" width="14.85546875" style="1" customWidth="1"/>
    <col min="8201" max="8201" width="1.42578125" style="1" customWidth="1"/>
    <col min="8202" max="8202" width="6.5703125" style="1" customWidth="1"/>
    <col min="8203" max="8203" width="64.85546875" style="1" customWidth="1"/>
    <col min="8204" max="8205" width="9.140625" style="1"/>
    <col min="8206" max="8206" width="10.85546875" style="1" bestFit="1" customWidth="1"/>
    <col min="8207" max="8447" width="9.140625" style="1"/>
    <col min="8448" max="8448" width="14.85546875" style="1" customWidth="1"/>
    <col min="8449" max="8449" width="17.140625" style="1" customWidth="1"/>
    <col min="8450" max="8456" width="14.85546875" style="1" customWidth="1"/>
    <col min="8457" max="8457" width="1.42578125" style="1" customWidth="1"/>
    <col min="8458" max="8458" width="6.5703125" style="1" customWidth="1"/>
    <col min="8459" max="8459" width="64.85546875" style="1" customWidth="1"/>
    <col min="8460" max="8461" width="9.140625" style="1"/>
    <col min="8462" max="8462" width="10.85546875" style="1" bestFit="1" customWidth="1"/>
    <col min="8463" max="8703" width="9.140625" style="1"/>
    <col min="8704" max="8704" width="14.85546875" style="1" customWidth="1"/>
    <col min="8705" max="8705" width="17.140625" style="1" customWidth="1"/>
    <col min="8706" max="8712" width="14.85546875" style="1" customWidth="1"/>
    <col min="8713" max="8713" width="1.42578125" style="1" customWidth="1"/>
    <col min="8714" max="8714" width="6.5703125" style="1" customWidth="1"/>
    <col min="8715" max="8715" width="64.85546875" style="1" customWidth="1"/>
    <col min="8716" max="8717" width="9.140625" style="1"/>
    <col min="8718" max="8718" width="10.85546875" style="1" bestFit="1" customWidth="1"/>
    <col min="8719" max="8959" width="9.140625" style="1"/>
    <col min="8960" max="8960" width="14.85546875" style="1" customWidth="1"/>
    <col min="8961" max="8961" width="17.140625" style="1" customWidth="1"/>
    <col min="8962" max="8968" width="14.85546875" style="1" customWidth="1"/>
    <col min="8969" max="8969" width="1.42578125" style="1" customWidth="1"/>
    <col min="8970" max="8970" width="6.5703125" style="1" customWidth="1"/>
    <col min="8971" max="8971" width="64.85546875" style="1" customWidth="1"/>
    <col min="8972" max="8973" width="9.140625" style="1"/>
    <col min="8974" max="8974" width="10.85546875" style="1" bestFit="1" customWidth="1"/>
    <col min="8975" max="9215" width="9.140625" style="1"/>
    <col min="9216" max="9216" width="14.85546875" style="1" customWidth="1"/>
    <col min="9217" max="9217" width="17.140625" style="1" customWidth="1"/>
    <col min="9218" max="9224" width="14.85546875" style="1" customWidth="1"/>
    <col min="9225" max="9225" width="1.42578125" style="1" customWidth="1"/>
    <col min="9226" max="9226" width="6.5703125" style="1" customWidth="1"/>
    <col min="9227" max="9227" width="64.85546875" style="1" customWidth="1"/>
    <col min="9228" max="9229" width="9.140625" style="1"/>
    <col min="9230" max="9230" width="10.85546875" style="1" bestFit="1" customWidth="1"/>
    <col min="9231" max="9471" width="9.140625" style="1"/>
    <col min="9472" max="9472" width="14.85546875" style="1" customWidth="1"/>
    <col min="9473" max="9473" width="17.140625" style="1" customWidth="1"/>
    <col min="9474" max="9480" width="14.85546875" style="1" customWidth="1"/>
    <col min="9481" max="9481" width="1.42578125" style="1" customWidth="1"/>
    <col min="9482" max="9482" width="6.5703125" style="1" customWidth="1"/>
    <col min="9483" max="9483" width="64.85546875" style="1" customWidth="1"/>
    <col min="9484" max="9485" width="9.140625" style="1"/>
    <col min="9486" max="9486" width="10.85546875" style="1" bestFit="1" customWidth="1"/>
    <col min="9487" max="9727" width="9.140625" style="1"/>
    <col min="9728" max="9728" width="14.85546875" style="1" customWidth="1"/>
    <col min="9729" max="9729" width="17.140625" style="1" customWidth="1"/>
    <col min="9730" max="9736" width="14.85546875" style="1" customWidth="1"/>
    <col min="9737" max="9737" width="1.42578125" style="1" customWidth="1"/>
    <col min="9738" max="9738" width="6.5703125" style="1" customWidth="1"/>
    <col min="9739" max="9739" width="64.85546875" style="1" customWidth="1"/>
    <col min="9740" max="9741" width="9.140625" style="1"/>
    <col min="9742" max="9742" width="10.85546875" style="1" bestFit="1" customWidth="1"/>
    <col min="9743" max="9983" width="9.140625" style="1"/>
    <col min="9984" max="9984" width="14.85546875" style="1" customWidth="1"/>
    <col min="9985" max="9985" width="17.140625" style="1" customWidth="1"/>
    <col min="9986" max="9992" width="14.85546875" style="1" customWidth="1"/>
    <col min="9993" max="9993" width="1.42578125" style="1" customWidth="1"/>
    <col min="9994" max="9994" width="6.5703125" style="1" customWidth="1"/>
    <col min="9995" max="9995" width="64.85546875" style="1" customWidth="1"/>
    <col min="9996" max="9997" width="9.140625" style="1"/>
    <col min="9998" max="9998" width="10.85546875" style="1" bestFit="1" customWidth="1"/>
    <col min="9999" max="10239" width="9.140625" style="1"/>
    <col min="10240" max="10240" width="14.85546875" style="1" customWidth="1"/>
    <col min="10241" max="10241" width="17.140625" style="1" customWidth="1"/>
    <col min="10242" max="10248" width="14.85546875" style="1" customWidth="1"/>
    <col min="10249" max="10249" width="1.42578125" style="1" customWidth="1"/>
    <col min="10250" max="10250" width="6.5703125" style="1" customWidth="1"/>
    <col min="10251" max="10251" width="64.85546875" style="1" customWidth="1"/>
    <col min="10252" max="10253" width="9.140625" style="1"/>
    <col min="10254" max="10254" width="10.85546875" style="1" bestFit="1" customWidth="1"/>
    <col min="10255" max="10495" width="9.140625" style="1"/>
    <col min="10496" max="10496" width="14.85546875" style="1" customWidth="1"/>
    <col min="10497" max="10497" width="17.140625" style="1" customWidth="1"/>
    <col min="10498" max="10504" width="14.85546875" style="1" customWidth="1"/>
    <col min="10505" max="10505" width="1.42578125" style="1" customWidth="1"/>
    <col min="10506" max="10506" width="6.5703125" style="1" customWidth="1"/>
    <col min="10507" max="10507" width="64.85546875" style="1" customWidth="1"/>
    <col min="10508" max="10509" width="9.140625" style="1"/>
    <col min="10510" max="10510" width="10.85546875" style="1" bestFit="1" customWidth="1"/>
    <col min="10511" max="10751" width="9.140625" style="1"/>
    <col min="10752" max="10752" width="14.85546875" style="1" customWidth="1"/>
    <col min="10753" max="10753" width="17.140625" style="1" customWidth="1"/>
    <col min="10754" max="10760" width="14.85546875" style="1" customWidth="1"/>
    <col min="10761" max="10761" width="1.42578125" style="1" customWidth="1"/>
    <col min="10762" max="10762" width="6.5703125" style="1" customWidth="1"/>
    <col min="10763" max="10763" width="64.85546875" style="1" customWidth="1"/>
    <col min="10764" max="10765" width="9.140625" style="1"/>
    <col min="10766" max="10766" width="10.85546875" style="1" bestFit="1" customWidth="1"/>
    <col min="10767" max="11007" width="9.140625" style="1"/>
    <col min="11008" max="11008" width="14.85546875" style="1" customWidth="1"/>
    <col min="11009" max="11009" width="17.140625" style="1" customWidth="1"/>
    <col min="11010" max="11016" width="14.85546875" style="1" customWidth="1"/>
    <col min="11017" max="11017" width="1.42578125" style="1" customWidth="1"/>
    <col min="11018" max="11018" width="6.5703125" style="1" customWidth="1"/>
    <col min="11019" max="11019" width="64.85546875" style="1" customWidth="1"/>
    <col min="11020" max="11021" width="9.140625" style="1"/>
    <col min="11022" max="11022" width="10.85546875" style="1" bestFit="1" customWidth="1"/>
    <col min="11023" max="11263" width="9.140625" style="1"/>
    <col min="11264" max="11264" width="14.85546875" style="1" customWidth="1"/>
    <col min="11265" max="11265" width="17.140625" style="1" customWidth="1"/>
    <col min="11266" max="11272" width="14.85546875" style="1" customWidth="1"/>
    <col min="11273" max="11273" width="1.42578125" style="1" customWidth="1"/>
    <col min="11274" max="11274" width="6.5703125" style="1" customWidth="1"/>
    <col min="11275" max="11275" width="64.85546875" style="1" customWidth="1"/>
    <col min="11276" max="11277" width="9.140625" style="1"/>
    <col min="11278" max="11278" width="10.85546875" style="1" bestFit="1" customWidth="1"/>
    <col min="11279" max="11519" width="9.140625" style="1"/>
    <col min="11520" max="11520" width="14.85546875" style="1" customWidth="1"/>
    <col min="11521" max="11521" width="17.140625" style="1" customWidth="1"/>
    <col min="11522" max="11528" width="14.85546875" style="1" customWidth="1"/>
    <col min="11529" max="11529" width="1.42578125" style="1" customWidth="1"/>
    <col min="11530" max="11530" width="6.5703125" style="1" customWidth="1"/>
    <col min="11531" max="11531" width="64.85546875" style="1" customWidth="1"/>
    <col min="11532" max="11533" width="9.140625" style="1"/>
    <col min="11534" max="11534" width="10.85546875" style="1" bestFit="1" customWidth="1"/>
    <col min="11535" max="11775" width="9.140625" style="1"/>
    <col min="11776" max="11776" width="14.85546875" style="1" customWidth="1"/>
    <col min="11777" max="11777" width="17.140625" style="1" customWidth="1"/>
    <col min="11778" max="11784" width="14.85546875" style="1" customWidth="1"/>
    <col min="11785" max="11785" width="1.42578125" style="1" customWidth="1"/>
    <col min="11786" max="11786" width="6.5703125" style="1" customWidth="1"/>
    <col min="11787" max="11787" width="64.85546875" style="1" customWidth="1"/>
    <col min="11788" max="11789" width="9.140625" style="1"/>
    <col min="11790" max="11790" width="10.85546875" style="1" bestFit="1" customWidth="1"/>
    <col min="11791" max="12031" width="9.140625" style="1"/>
    <col min="12032" max="12032" width="14.85546875" style="1" customWidth="1"/>
    <col min="12033" max="12033" width="17.140625" style="1" customWidth="1"/>
    <col min="12034" max="12040" width="14.85546875" style="1" customWidth="1"/>
    <col min="12041" max="12041" width="1.42578125" style="1" customWidth="1"/>
    <col min="12042" max="12042" width="6.5703125" style="1" customWidth="1"/>
    <col min="12043" max="12043" width="64.85546875" style="1" customWidth="1"/>
    <col min="12044" max="12045" width="9.140625" style="1"/>
    <col min="12046" max="12046" width="10.85546875" style="1" bestFit="1" customWidth="1"/>
    <col min="12047" max="12287" width="9.140625" style="1"/>
    <col min="12288" max="12288" width="14.85546875" style="1" customWidth="1"/>
    <col min="12289" max="12289" width="17.140625" style="1" customWidth="1"/>
    <col min="12290" max="12296" width="14.85546875" style="1" customWidth="1"/>
    <col min="12297" max="12297" width="1.42578125" style="1" customWidth="1"/>
    <col min="12298" max="12298" width="6.5703125" style="1" customWidth="1"/>
    <col min="12299" max="12299" width="64.85546875" style="1" customWidth="1"/>
    <col min="12300" max="12301" width="9.140625" style="1"/>
    <col min="12302" max="12302" width="10.85546875" style="1" bestFit="1" customWidth="1"/>
    <col min="12303" max="12543" width="9.140625" style="1"/>
    <col min="12544" max="12544" width="14.85546875" style="1" customWidth="1"/>
    <col min="12545" max="12545" width="17.140625" style="1" customWidth="1"/>
    <col min="12546" max="12552" width="14.85546875" style="1" customWidth="1"/>
    <col min="12553" max="12553" width="1.42578125" style="1" customWidth="1"/>
    <col min="12554" max="12554" width="6.5703125" style="1" customWidth="1"/>
    <col min="12555" max="12555" width="64.85546875" style="1" customWidth="1"/>
    <col min="12556" max="12557" width="9.140625" style="1"/>
    <col min="12558" max="12558" width="10.85546875" style="1" bestFit="1" customWidth="1"/>
    <col min="12559" max="12799" width="9.140625" style="1"/>
    <col min="12800" max="12800" width="14.85546875" style="1" customWidth="1"/>
    <col min="12801" max="12801" width="17.140625" style="1" customWidth="1"/>
    <col min="12802" max="12808" width="14.85546875" style="1" customWidth="1"/>
    <col min="12809" max="12809" width="1.42578125" style="1" customWidth="1"/>
    <col min="12810" max="12810" width="6.5703125" style="1" customWidth="1"/>
    <col min="12811" max="12811" width="64.85546875" style="1" customWidth="1"/>
    <col min="12812" max="12813" width="9.140625" style="1"/>
    <col min="12814" max="12814" width="10.85546875" style="1" bestFit="1" customWidth="1"/>
    <col min="12815" max="13055" width="9.140625" style="1"/>
    <col min="13056" max="13056" width="14.85546875" style="1" customWidth="1"/>
    <col min="13057" max="13057" width="17.140625" style="1" customWidth="1"/>
    <col min="13058" max="13064" width="14.85546875" style="1" customWidth="1"/>
    <col min="13065" max="13065" width="1.42578125" style="1" customWidth="1"/>
    <col min="13066" max="13066" width="6.5703125" style="1" customWidth="1"/>
    <col min="13067" max="13067" width="64.85546875" style="1" customWidth="1"/>
    <col min="13068" max="13069" width="9.140625" style="1"/>
    <col min="13070" max="13070" width="10.85546875" style="1" bestFit="1" customWidth="1"/>
    <col min="13071" max="13311" width="9.140625" style="1"/>
    <col min="13312" max="13312" width="14.85546875" style="1" customWidth="1"/>
    <col min="13313" max="13313" width="17.140625" style="1" customWidth="1"/>
    <col min="13314" max="13320" width="14.85546875" style="1" customWidth="1"/>
    <col min="13321" max="13321" width="1.42578125" style="1" customWidth="1"/>
    <col min="13322" max="13322" width="6.5703125" style="1" customWidth="1"/>
    <col min="13323" max="13323" width="64.85546875" style="1" customWidth="1"/>
    <col min="13324" max="13325" width="9.140625" style="1"/>
    <col min="13326" max="13326" width="10.85546875" style="1" bestFit="1" customWidth="1"/>
    <col min="13327" max="13567" width="9.140625" style="1"/>
    <col min="13568" max="13568" width="14.85546875" style="1" customWidth="1"/>
    <col min="13569" max="13569" width="17.140625" style="1" customWidth="1"/>
    <col min="13570" max="13576" width="14.85546875" style="1" customWidth="1"/>
    <col min="13577" max="13577" width="1.42578125" style="1" customWidth="1"/>
    <col min="13578" max="13578" width="6.5703125" style="1" customWidth="1"/>
    <col min="13579" max="13579" width="64.85546875" style="1" customWidth="1"/>
    <col min="13580" max="13581" width="9.140625" style="1"/>
    <col min="13582" max="13582" width="10.85546875" style="1" bestFit="1" customWidth="1"/>
    <col min="13583" max="13823" width="9.140625" style="1"/>
    <col min="13824" max="13824" width="14.85546875" style="1" customWidth="1"/>
    <col min="13825" max="13825" width="17.140625" style="1" customWidth="1"/>
    <col min="13826" max="13832" width="14.85546875" style="1" customWidth="1"/>
    <col min="13833" max="13833" width="1.42578125" style="1" customWidth="1"/>
    <col min="13834" max="13834" width="6.5703125" style="1" customWidth="1"/>
    <col min="13835" max="13835" width="64.85546875" style="1" customWidth="1"/>
    <col min="13836" max="13837" width="9.140625" style="1"/>
    <col min="13838" max="13838" width="10.85546875" style="1" bestFit="1" customWidth="1"/>
    <col min="13839" max="14079" width="9.140625" style="1"/>
    <col min="14080" max="14080" width="14.85546875" style="1" customWidth="1"/>
    <col min="14081" max="14081" width="17.140625" style="1" customWidth="1"/>
    <col min="14082" max="14088" width="14.85546875" style="1" customWidth="1"/>
    <col min="14089" max="14089" width="1.42578125" style="1" customWidth="1"/>
    <col min="14090" max="14090" width="6.5703125" style="1" customWidth="1"/>
    <col min="14091" max="14091" width="64.85546875" style="1" customWidth="1"/>
    <col min="14092" max="14093" width="9.140625" style="1"/>
    <col min="14094" max="14094" width="10.85546875" style="1" bestFit="1" customWidth="1"/>
    <col min="14095" max="14335" width="9.140625" style="1"/>
    <col min="14336" max="14336" width="14.85546875" style="1" customWidth="1"/>
    <col min="14337" max="14337" width="17.140625" style="1" customWidth="1"/>
    <col min="14338" max="14344" width="14.85546875" style="1" customWidth="1"/>
    <col min="14345" max="14345" width="1.42578125" style="1" customWidth="1"/>
    <col min="14346" max="14346" width="6.5703125" style="1" customWidth="1"/>
    <col min="14347" max="14347" width="64.85546875" style="1" customWidth="1"/>
    <col min="14348" max="14349" width="9.140625" style="1"/>
    <col min="14350" max="14350" width="10.85546875" style="1" bestFit="1" customWidth="1"/>
    <col min="14351" max="14591" width="9.140625" style="1"/>
    <col min="14592" max="14592" width="14.85546875" style="1" customWidth="1"/>
    <col min="14593" max="14593" width="17.140625" style="1" customWidth="1"/>
    <col min="14594" max="14600" width="14.85546875" style="1" customWidth="1"/>
    <col min="14601" max="14601" width="1.42578125" style="1" customWidth="1"/>
    <col min="14602" max="14602" width="6.5703125" style="1" customWidth="1"/>
    <col min="14603" max="14603" width="64.85546875" style="1" customWidth="1"/>
    <col min="14604" max="14605" width="9.140625" style="1"/>
    <col min="14606" max="14606" width="10.85546875" style="1" bestFit="1" customWidth="1"/>
    <col min="14607" max="14847" width="9.140625" style="1"/>
    <col min="14848" max="14848" width="14.85546875" style="1" customWidth="1"/>
    <col min="14849" max="14849" width="17.140625" style="1" customWidth="1"/>
    <col min="14850" max="14856" width="14.85546875" style="1" customWidth="1"/>
    <col min="14857" max="14857" width="1.42578125" style="1" customWidth="1"/>
    <col min="14858" max="14858" width="6.5703125" style="1" customWidth="1"/>
    <col min="14859" max="14859" width="64.85546875" style="1" customWidth="1"/>
    <col min="14860" max="14861" width="9.140625" style="1"/>
    <col min="14862" max="14862" width="10.85546875" style="1" bestFit="1" customWidth="1"/>
    <col min="14863" max="15103" width="9.140625" style="1"/>
    <col min="15104" max="15104" width="14.85546875" style="1" customWidth="1"/>
    <col min="15105" max="15105" width="17.140625" style="1" customWidth="1"/>
    <col min="15106" max="15112" width="14.85546875" style="1" customWidth="1"/>
    <col min="15113" max="15113" width="1.42578125" style="1" customWidth="1"/>
    <col min="15114" max="15114" width="6.5703125" style="1" customWidth="1"/>
    <col min="15115" max="15115" width="64.85546875" style="1" customWidth="1"/>
    <col min="15116" max="15117" width="9.140625" style="1"/>
    <col min="15118" max="15118" width="10.85546875" style="1" bestFit="1" customWidth="1"/>
    <col min="15119" max="15359" width="9.140625" style="1"/>
    <col min="15360" max="15360" width="14.85546875" style="1" customWidth="1"/>
    <col min="15361" max="15361" width="17.140625" style="1" customWidth="1"/>
    <col min="15362" max="15368" width="14.85546875" style="1" customWidth="1"/>
    <col min="15369" max="15369" width="1.42578125" style="1" customWidth="1"/>
    <col min="15370" max="15370" width="6.5703125" style="1" customWidth="1"/>
    <col min="15371" max="15371" width="64.85546875" style="1" customWidth="1"/>
    <col min="15372" max="15373" width="9.140625" style="1"/>
    <col min="15374" max="15374" width="10.85546875" style="1" bestFit="1" customWidth="1"/>
    <col min="15375" max="15615" width="9.140625" style="1"/>
    <col min="15616" max="15616" width="14.85546875" style="1" customWidth="1"/>
    <col min="15617" max="15617" width="17.140625" style="1" customWidth="1"/>
    <col min="15618" max="15624" width="14.85546875" style="1" customWidth="1"/>
    <col min="15625" max="15625" width="1.42578125" style="1" customWidth="1"/>
    <col min="15626" max="15626" width="6.5703125" style="1" customWidth="1"/>
    <col min="15627" max="15627" width="64.85546875" style="1" customWidth="1"/>
    <col min="15628" max="15629" width="9.140625" style="1"/>
    <col min="15630" max="15630" width="10.85546875" style="1" bestFit="1" customWidth="1"/>
    <col min="15631" max="15871" width="9.140625" style="1"/>
    <col min="15872" max="15872" width="14.85546875" style="1" customWidth="1"/>
    <col min="15873" max="15873" width="17.140625" style="1" customWidth="1"/>
    <col min="15874" max="15880" width="14.85546875" style="1" customWidth="1"/>
    <col min="15881" max="15881" width="1.42578125" style="1" customWidth="1"/>
    <col min="15882" max="15882" width="6.5703125" style="1" customWidth="1"/>
    <col min="15883" max="15883" width="64.85546875" style="1" customWidth="1"/>
    <col min="15884" max="15885" width="9.140625" style="1"/>
    <col min="15886" max="15886" width="10.85546875" style="1" bestFit="1" customWidth="1"/>
    <col min="15887" max="16127" width="9.140625" style="1"/>
    <col min="16128" max="16128" width="14.85546875" style="1" customWidth="1"/>
    <col min="16129" max="16129" width="17.140625" style="1" customWidth="1"/>
    <col min="16130" max="16136" width="14.85546875" style="1" customWidth="1"/>
    <col min="16137" max="16137" width="1.42578125" style="1" customWidth="1"/>
    <col min="16138" max="16138" width="6.5703125" style="1" customWidth="1"/>
    <col min="16139" max="16139" width="64.85546875" style="1" customWidth="1"/>
    <col min="16140" max="16141" width="9.140625" style="1"/>
    <col min="16142" max="16142" width="10.85546875" style="1" bestFit="1" customWidth="1"/>
    <col min="16143" max="16384" width="9.140625" style="1"/>
  </cols>
  <sheetData>
    <row r="1" spans="1:11" s="104" customFormat="1" x14ac:dyDescent="0.2">
      <c r="A1" s="103"/>
      <c r="J1" s="1"/>
      <c r="K1" s="187" t="s">
        <v>0</v>
      </c>
    </row>
    <row r="2" spans="1:11" s="104" customFormat="1" x14ac:dyDescent="0.2">
      <c r="A2" s="103"/>
      <c r="J2" s="1"/>
      <c r="K2" s="188"/>
    </row>
    <row r="3" spans="1:11" s="104" customFormat="1" x14ac:dyDescent="0.2">
      <c r="A3" s="103"/>
      <c r="J3" s="1"/>
      <c r="K3" s="189"/>
    </row>
    <row r="4" spans="1:11" s="104" customFormat="1" x14ac:dyDescent="0.2">
      <c r="A4" s="103"/>
      <c r="J4" s="1"/>
      <c r="K4" s="8"/>
    </row>
    <row r="5" spans="1:11" s="104" customFormat="1" x14ac:dyDescent="0.2">
      <c r="A5" s="103"/>
      <c r="J5" s="1"/>
      <c r="K5" s="10"/>
    </row>
    <row r="6" spans="1:11" s="104" customFormat="1" x14ac:dyDescent="0.2">
      <c r="A6" s="103"/>
      <c r="J6" s="1"/>
      <c r="K6" s="11" t="s">
        <v>12</v>
      </c>
    </row>
    <row r="7" spans="1:11" s="104" customFormat="1" x14ac:dyDescent="0.2">
      <c r="A7" s="103"/>
      <c r="J7" s="1"/>
      <c r="K7" s="174" t="s">
        <v>48</v>
      </c>
    </row>
    <row r="8" spans="1:11" s="104" customFormat="1" x14ac:dyDescent="0.2">
      <c r="A8" s="103"/>
      <c r="J8" s="1"/>
      <c r="K8" s="175"/>
    </row>
    <row r="9" spans="1:11" s="104" customFormat="1" x14ac:dyDescent="0.2">
      <c r="A9" s="103"/>
      <c r="J9" s="1"/>
      <c r="K9" s="175"/>
    </row>
    <row r="10" spans="1:11" s="104" customFormat="1" x14ac:dyDescent="0.2">
      <c r="A10" s="103"/>
      <c r="J10" s="1"/>
      <c r="K10" s="175"/>
    </row>
    <row r="11" spans="1:11" s="104" customFormat="1" x14ac:dyDescent="0.2">
      <c r="A11" s="103"/>
      <c r="J11" s="1"/>
      <c r="K11" s="175"/>
    </row>
    <row r="12" spans="1:11" s="104" customFormat="1" ht="12.75" customHeight="1" x14ac:dyDescent="0.2">
      <c r="A12" s="103"/>
      <c r="J12" s="1"/>
      <c r="K12" s="176"/>
    </row>
    <row r="13" spans="1:11" s="104" customFormat="1" ht="12.75" customHeight="1" x14ac:dyDescent="0.2">
      <c r="A13" s="103"/>
      <c r="J13" s="1"/>
      <c r="K13" s="177"/>
    </row>
    <row r="14" spans="1:11" s="104" customFormat="1" ht="13.5" customHeight="1" x14ac:dyDescent="0.2">
      <c r="A14" s="103"/>
      <c r="J14" s="1"/>
      <c r="K14" s="1"/>
    </row>
    <row r="15" spans="1:11" s="104" customFormat="1" ht="36.75" customHeight="1" x14ac:dyDescent="0.2">
      <c r="A15" s="250" t="s">
        <v>152</v>
      </c>
      <c r="B15" s="250"/>
      <c r="C15" s="250"/>
      <c r="D15" s="250"/>
      <c r="E15" s="250"/>
      <c r="F15" s="250"/>
      <c r="G15" s="250"/>
      <c r="H15" s="250"/>
      <c r="I15" s="250"/>
      <c r="J15" s="1"/>
      <c r="K15" s="11" t="s">
        <v>68</v>
      </c>
    </row>
    <row r="16" spans="1:11" s="104" customFormat="1" ht="18.75" x14ac:dyDescent="0.2">
      <c r="A16" s="113" t="s">
        <v>140</v>
      </c>
      <c r="B16" s="251"/>
      <c r="C16" s="252"/>
      <c r="D16" s="252"/>
      <c r="E16" s="252"/>
      <c r="F16" s="252"/>
      <c r="G16" s="252"/>
      <c r="H16" s="252"/>
      <c r="I16" s="253"/>
      <c r="J16" s="1"/>
      <c r="K16" s="181" t="s">
        <v>39</v>
      </c>
    </row>
    <row r="17" spans="1:11" s="104" customFormat="1" ht="19.5" customHeight="1" x14ac:dyDescent="0.2">
      <c r="A17" s="193" t="s">
        <v>141</v>
      </c>
      <c r="B17" s="192"/>
      <c r="C17" s="192"/>
      <c r="D17" s="105" t="s">
        <v>151</v>
      </c>
      <c r="E17" s="114"/>
      <c r="F17" s="105" t="s">
        <v>149</v>
      </c>
      <c r="G17" s="114"/>
      <c r="H17" s="105" t="s">
        <v>150</v>
      </c>
      <c r="I17" s="114"/>
      <c r="J17" s="1"/>
      <c r="K17" s="182"/>
    </row>
    <row r="18" spans="1:11" s="104" customFormat="1" ht="19.5" customHeight="1" x14ac:dyDescent="0.2">
      <c r="A18" s="193"/>
      <c r="B18" s="192"/>
      <c r="C18" s="192"/>
      <c r="D18" s="105" t="s">
        <v>144</v>
      </c>
      <c r="E18" s="115"/>
      <c r="F18" s="105" t="s">
        <v>148</v>
      </c>
      <c r="G18" s="115"/>
      <c r="H18" s="105" t="s">
        <v>143</v>
      </c>
      <c r="I18" s="115"/>
      <c r="J18" s="1"/>
      <c r="K18" s="182"/>
    </row>
    <row r="19" spans="1:11" s="104" customFormat="1" ht="22.5" customHeight="1" x14ac:dyDescent="0.2">
      <c r="A19" s="116" t="s">
        <v>142</v>
      </c>
      <c r="B19" s="194"/>
      <c r="C19" s="194"/>
      <c r="D19" s="105" t="s">
        <v>145</v>
      </c>
      <c r="E19" s="106"/>
      <c r="F19" s="105" t="s">
        <v>146</v>
      </c>
      <c r="G19" s="107"/>
      <c r="H19" s="105" t="s">
        <v>147</v>
      </c>
      <c r="I19" s="107"/>
      <c r="J19" s="1"/>
      <c r="K19" s="182"/>
    </row>
    <row r="20" spans="1:11" ht="18" customHeight="1" x14ac:dyDescent="0.2">
      <c r="A20" s="178" t="s">
        <v>60</v>
      </c>
      <c r="B20" s="178"/>
      <c r="C20" s="178"/>
      <c r="D20" s="178" t="s">
        <v>61</v>
      </c>
      <c r="E20" s="178"/>
      <c r="F20" s="178"/>
      <c r="G20" s="178" t="s">
        <v>62</v>
      </c>
      <c r="H20" s="178"/>
      <c r="I20" s="178"/>
      <c r="K20" s="182"/>
    </row>
    <row r="21" spans="1:11" ht="12.75" customHeight="1" x14ac:dyDescent="0.2">
      <c r="A21" s="13" t="s">
        <v>59</v>
      </c>
      <c r="B21" s="13" t="s">
        <v>58</v>
      </c>
      <c r="C21" s="13" t="s">
        <v>57</v>
      </c>
      <c r="D21" s="13" t="s">
        <v>43</v>
      </c>
      <c r="E21" s="13" t="s">
        <v>2</v>
      </c>
      <c r="F21" s="13" t="s">
        <v>63</v>
      </c>
      <c r="G21" s="13" t="s">
        <v>64</v>
      </c>
      <c r="H21" s="13" t="s">
        <v>65</v>
      </c>
      <c r="I21" s="13" t="s">
        <v>66</v>
      </c>
      <c r="K21" s="27"/>
    </row>
    <row r="22" spans="1:11" ht="12.75" customHeight="1" x14ac:dyDescent="0.2">
      <c r="A22" s="117">
        <f>+C22-(C22*B22)</f>
        <v>3286500</v>
      </c>
      <c r="B22" s="118">
        <v>0.1236</v>
      </c>
      <c r="C22" s="117">
        <v>3750000</v>
      </c>
      <c r="D22" s="87" t="e">
        <f>+#REF!</f>
        <v>#REF!</v>
      </c>
      <c r="E22" s="17"/>
      <c r="F22" s="4"/>
      <c r="G22" s="110" t="s">
        <v>91</v>
      </c>
      <c r="H22" s="4"/>
      <c r="I22" s="119"/>
      <c r="K22" s="27"/>
    </row>
    <row r="23" spans="1:11" ht="32.25" customHeight="1" x14ac:dyDescent="0.2">
      <c r="A23" s="179" t="s">
        <v>25</v>
      </c>
      <c r="B23" s="180"/>
      <c r="C23" s="180"/>
      <c r="D23" s="190" t="s">
        <v>67</v>
      </c>
      <c r="E23" s="179" t="s">
        <v>26</v>
      </c>
      <c r="F23" s="179"/>
      <c r="G23" s="179"/>
      <c r="H23" s="179" t="s">
        <v>27</v>
      </c>
      <c r="I23" s="179" t="s">
        <v>28</v>
      </c>
      <c r="K23" s="27"/>
    </row>
    <row r="24" spans="1:11" ht="14.25" customHeight="1" x14ac:dyDescent="0.2">
      <c r="A24" s="120" t="s">
        <v>43</v>
      </c>
      <c r="B24" s="120" t="s">
        <v>2</v>
      </c>
      <c r="C24" s="120" t="s">
        <v>29</v>
      </c>
      <c r="D24" s="190"/>
      <c r="E24" s="120" t="s">
        <v>43</v>
      </c>
      <c r="F24" s="120" t="s">
        <v>2</v>
      </c>
      <c r="G24" s="120" t="s">
        <v>29</v>
      </c>
      <c r="H24" s="179"/>
      <c r="I24" s="179"/>
      <c r="K24" s="27"/>
    </row>
    <row r="25" spans="1:11" ht="14.25" customHeight="1" x14ac:dyDescent="0.2">
      <c r="A25" s="87" t="e">
        <f>+#REF!</f>
        <v>#REF!</v>
      </c>
      <c r="B25" s="17"/>
      <c r="C25" s="17"/>
      <c r="D25" s="121">
        <v>0</v>
      </c>
      <c r="E25" s="121"/>
      <c r="F25" s="4"/>
      <c r="G25" s="122">
        <f>E25+F25</f>
        <v>0</v>
      </c>
      <c r="H25" s="123">
        <f>G25+D25+C25</f>
        <v>0</v>
      </c>
      <c r="I25" s="124"/>
      <c r="K25" s="36"/>
    </row>
    <row r="26" spans="1:11" ht="18" customHeight="1" x14ac:dyDescent="0.2">
      <c r="A26" s="191"/>
      <c r="B26" s="191"/>
      <c r="C26" s="191"/>
      <c r="D26" s="191"/>
      <c r="E26" s="191"/>
      <c r="F26" s="191"/>
      <c r="G26" s="125"/>
      <c r="H26" s="126"/>
      <c r="I26" s="127"/>
      <c r="K26" s="27"/>
    </row>
    <row r="27" spans="1:11" ht="18" customHeight="1" x14ac:dyDescent="0.2">
      <c r="A27" s="186"/>
      <c r="B27" s="186"/>
      <c r="C27" s="186"/>
      <c r="D27" s="128" t="s">
        <v>9</v>
      </c>
      <c r="E27" s="18" t="s">
        <v>6</v>
      </c>
      <c r="F27" s="18" t="s">
        <v>7</v>
      </c>
      <c r="G27" s="129" t="s">
        <v>4</v>
      </c>
      <c r="H27" s="6"/>
      <c r="I27" s="6"/>
      <c r="K27" s="27"/>
    </row>
    <row r="28" spans="1:11" ht="16.5" customHeight="1" x14ac:dyDescent="0.2">
      <c r="A28" s="183" t="s">
        <v>11</v>
      </c>
      <c r="B28" s="183"/>
      <c r="C28" s="183"/>
      <c r="D28" s="100" t="s">
        <v>95</v>
      </c>
      <c r="E28" s="14"/>
      <c r="F28" s="15"/>
      <c r="G28" s="13" t="s">
        <v>99</v>
      </c>
      <c r="H28" s="16"/>
      <c r="I28" s="130" t="s">
        <v>109</v>
      </c>
      <c r="K28" s="27"/>
    </row>
    <row r="29" spans="1:11" ht="20.100000000000001" customHeight="1" x14ac:dyDescent="0.2">
      <c r="A29" s="183" t="s">
        <v>30</v>
      </c>
      <c r="B29" s="183"/>
      <c r="C29" s="183"/>
      <c r="D29" s="14">
        <f>+C25</f>
        <v>0</v>
      </c>
      <c r="E29" s="17"/>
      <c r="F29" s="15"/>
      <c r="G29" s="13" t="s">
        <v>93</v>
      </c>
      <c r="H29" s="16"/>
      <c r="I29" s="130" t="s">
        <v>110</v>
      </c>
      <c r="K29" s="27"/>
    </row>
    <row r="30" spans="1:11" ht="20.100000000000001" customHeight="1" x14ac:dyDescent="0.2">
      <c r="A30" s="183" t="s">
        <v>3</v>
      </c>
      <c r="B30" s="183"/>
      <c r="C30" s="183"/>
      <c r="D30" s="20"/>
      <c r="E30" s="5"/>
      <c r="F30" s="5"/>
      <c r="G30" s="18" t="s">
        <v>94</v>
      </c>
      <c r="H30" s="6"/>
      <c r="I30" s="2" t="s">
        <v>133</v>
      </c>
      <c r="K30" s="27"/>
    </row>
    <row r="31" spans="1:11" ht="13.5" customHeight="1" x14ac:dyDescent="0.2">
      <c r="A31" s="183" t="s">
        <v>5</v>
      </c>
      <c r="B31" s="183"/>
      <c r="C31" s="183"/>
      <c r="D31" s="20"/>
      <c r="E31" s="21"/>
      <c r="F31" s="85"/>
      <c r="G31" s="18" t="s">
        <v>15</v>
      </c>
      <c r="H31" s="6"/>
      <c r="I31" s="131" t="s">
        <v>133</v>
      </c>
      <c r="K31" s="27"/>
    </row>
    <row r="32" spans="1:11" ht="21.75" customHeight="1" x14ac:dyDescent="0.2">
      <c r="A32" s="178"/>
      <c r="B32" s="178"/>
      <c r="C32" s="178"/>
      <c r="D32" s="20"/>
      <c r="E32" s="21"/>
      <c r="F32" s="85"/>
      <c r="G32" s="21" t="s">
        <v>8</v>
      </c>
      <c r="H32" s="5"/>
      <c r="I32" s="5"/>
      <c r="K32" s="27"/>
    </row>
    <row r="33" spans="1:14" ht="18.75" customHeight="1" x14ac:dyDescent="0.2">
      <c r="A33" s="132"/>
      <c r="B33" s="22"/>
      <c r="C33" s="7"/>
      <c r="D33" s="23"/>
      <c r="E33" s="24"/>
      <c r="F33" s="25"/>
      <c r="G33" s="26"/>
      <c r="H33" s="26"/>
      <c r="I33" s="133"/>
      <c r="K33" s="27"/>
    </row>
    <row r="34" spans="1:14" ht="23.25" customHeight="1" x14ac:dyDescent="0.2">
      <c r="A34" s="134" t="s">
        <v>86</v>
      </c>
      <c r="B34" s="22"/>
      <c r="C34" s="7"/>
      <c r="D34" s="28"/>
      <c r="E34" s="29"/>
      <c r="F34" s="30"/>
      <c r="G34" s="31"/>
      <c r="H34" s="31"/>
      <c r="I34" s="135"/>
      <c r="K34" s="27"/>
    </row>
    <row r="35" spans="1:14" ht="12.75" customHeight="1" x14ac:dyDescent="0.2">
      <c r="A35" s="184" t="s">
        <v>69</v>
      </c>
      <c r="B35" s="184"/>
      <c r="C35" s="184" t="s">
        <v>70</v>
      </c>
      <c r="D35" s="185" t="s">
        <v>71</v>
      </c>
      <c r="E35" s="185"/>
      <c r="F35" s="185"/>
      <c r="G35" s="185"/>
      <c r="H35" s="184" t="s">
        <v>37</v>
      </c>
      <c r="I35" s="184"/>
    </row>
    <row r="36" spans="1:14" ht="25.5" x14ac:dyDescent="0.2">
      <c r="A36" s="184"/>
      <c r="B36" s="184"/>
      <c r="C36" s="184"/>
      <c r="D36" s="32" t="s">
        <v>72</v>
      </c>
      <c r="E36" s="33" t="s">
        <v>73</v>
      </c>
      <c r="F36" s="34" t="s">
        <v>56</v>
      </c>
      <c r="G36" s="35" t="s">
        <v>74</v>
      </c>
      <c r="H36" s="184"/>
      <c r="I36" s="184"/>
    </row>
    <row r="37" spans="1:14" x14ac:dyDescent="0.2">
      <c r="A37" s="169" t="s">
        <v>100</v>
      </c>
      <c r="B37" s="169"/>
      <c r="C37" s="4" t="s">
        <v>108</v>
      </c>
      <c r="D37" s="96">
        <v>30</v>
      </c>
      <c r="E37" s="97">
        <v>30</v>
      </c>
      <c r="F37" s="98">
        <v>0</v>
      </c>
      <c r="G37" s="110">
        <v>0</v>
      </c>
      <c r="H37" s="170" t="s">
        <v>122</v>
      </c>
      <c r="I37" s="170"/>
      <c r="K37" s="41" t="s">
        <v>49</v>
      </c>
      <c r="N37" s="19">
        <f>D29-E29</f>
        <v>0</v>
      </c>
    </row>
    <row r="38" spans="1:14" ht="13.5" customHeight="1" x14ac:dyDescent="0.2">
      <c r="A38" s="169" t="s">
        <v>101</v>
      </c>
      <c r="B38" s="169"/>
      <c r="C38" s="4" t="s">
        <v>128</v>
      </c>
      <c r="D38" s="96">
        <v>60</v>
      </c>
      <c r="E38" s="99">
        <v>50</v>
      </c>
      <c r="F38" s="98">
        <f t="shared" ref="F38:F40" si="0">+D38-E38</f>
        <v>10</v>
      </c>
      <c r="G38" s="110">
        <v>0</v>
      </c>
      <c r="H38" s="170" t="s">
        <v>123</v>
      </c>
      <c r="I38" s="170"/>
      <c r="K38" s="42" t="s">
        <v>50</v>
      </c>
    </row>
    <row r="39" spans="1:14" ht="14.25" customHeight="1" x14ac:dyDescent="0.2">
      <c r="A39" s="169" t="s">
        <v>102</v>
      </c>
      <c r="B39" s="169"/>
      <c r="C39" s="4" t="s">
        <v>83</v>
      </c>
      <c r="D39" s="96">
        <v>10</v>
      </c>
      <c r="E39" s="99">
        <v>20</v>
      </c>
      <c r="F39" s="98">
        <f t="shared" si="0"/>
        <v>-10</v>
      </c>
      <c r="G39" s="110">
        <v>0</v>
      </c>
      <c r="H39" s="173" t="s">
        <v>124</v>
      </c>
      <c r="I39" s="173"/>
      <c r="K39" s="43" t="s">
        <v>51</v>
      </c>
    </row>
    <row r="40" spans="1:14" ht="14.25" customHeight="1" x14ac:dyDescent="0.2">
      <c r="A40" s="169" t="s">
        <v>103</v>
      </c>
      <c r="B40" s="169"/>
      <c r="C40" s="4" t="s">
        <v>92</v>
      </c>
      <c r="D40" s="96">
        <v>30</v>
      </c>
      <c r="E40" s="99">
        <v>90</v>
      </c>
      <c r="F40" s="98">
        <f t="shared" si="0"/>
        <v>-60</v>
      </c>
      <c r="G40" s="110">
        <v>0</v>
      </c>
      <c r="H40" s="170" t="s">
        <v>125</v>
      </c>
      <c r="I40" s="170"/>
      <c r="K40" s="43" t="s">
        <v>81</v>
      </c>
    </row>
    <row r="41" spans="1:14" ht="14.25" customHeight="1" x14ac:dyDescent="0.2">
      <c r="A41" s="169" t="s">
        <v>104</v>
      </c>
      <c r="B41" s="169"/>
      <c r="C41" s="4" t="s">
        <v>92</v>
      </c>
      <c r="D41" s="96">
        <v>30</v>
      </c>
      <c r="E41" s="99">
        <v>30</v>
      </c>
      <c r="F41" s="98">
        <f t="shared" ref="F41:F44" si="1">+D41-E41</f>
        <v>0</v>
      </c>
      <c r="G41" s="110">
        <v>15</v>
      </c>
      <c r="H41" s="173" t="s">
        <v>126</v>
      </c>
      <c r="I41" s="173"/>
      <c r="K41" s="43" t="s">
        <v>52</v>
      </c>
    </row>
    <row r="42" spans="1:14" ht="14.25" customHeight="1" x14ac:dyDescent="0.2">
      <c r="A42" s="169" t="s">
        <v>105</v>
      </c>
      <c r="B42" s="169"/>
      <c r="C42" s="4" t="s">
        <v>92</v>
      </c>
      <c r="D42" s="96">
        <v>15</v>
      </c>
      <c r="E42" s="99">
        <v>2</v>
      </c>
      <c r="F42" s="98">
        <f t="shared" si="1"/>
        <v>13</v>
      </c>
      <c r="G42" s="110">
        <v>0</v>
      </c>
      <c r="H42" s="173" t="s">
        <v>127</v>
      </c>
      <c r="I42" s="173"/>
      <c r="K42" s="43"/>
    </row>
    <row r="43" spans="1:14" ht="14.25" customHeight="1" x14ac:dyDescent="0.2">
      <c r="A43" s="169" t="s">
        <v>106</v>
      </c>
      <c r="B43" s="169"/>
      <c r="C43" s="4" t="s">
        <v>83</v>
      </c>
      <c r="D43" s="96">
        <v>15</v>
      </c>
      <c r="E43" s="99">
        <v>0</v>
      </c>
      <c r="F43" s="98">
        <f t="shared" si="1"/>
        <v>15</v>
      </c>
      <c r="G43" s="110">
        <v>0</v>
      </c>
      <c r="H43" s="170"/>
      <c r="I43" s="170"/>
      <c r="K43" s="43"/>
    </row>
    <row r="44" spans="1:14" s="37" customFormat="1" ht="27.75" customHeight="1" x14ac:dyDescent="0.2">
      <c r="A44" s="169" t="s">
        <v>107</v>
      </c>
      <c r="B44" s="169"/>
      <c r="C44" s="4" t="s">
        <v>83</v>
      </c>
      <c r="D44" s="98">
        <v>15</v>
      </c>
      <c r="E44" s="99">
        <v>0</v>
      </c>
      <c r="F44" s="98">
        <f t="shared" si="1"/>
        <v>15</v>
      </c>
      <c r="G44" s="110">
        <v>0</v>
      </c>
      <c r="H44" s="170"/>
      <c r="I44" s="170"/>
      <c r="J44" s="1"/>
      <c r="K44" s="43"/>
    </row>
    <row r="45" spans="1:14" ht="18" customHeight="1" x14ac:dyDescent="0.2">
      <c r="A45" s="169"/>
      <c r="B45" s="169"/>
      <c r="C45" s="4"/>
      <c r="D45" s="97">
        <f>+SUM(D37:D43)</f>
        <v>190</v>
      </c>
      <c r="E45" s="97">
        <f>+SUM(E37:E43)</f>
        <v>222</v>
      </c>
      <c r="F45" s="97">
        <f>+SUM(F37:F43)</f>
        <v>-32</v>
      </c>
      <c r="G45" s="84">
        <f>+SUM(G37:G43)</f>
        <v>15</v>
      </c>
      <c r="H45" s="170"/>
      <c r="I45" s="170"/>
      <c r="K45" s="43"/>
    </row>
    <row r="46" spans="1:14" ht="40.5" customHeight="1" x14ac:dyDescent="0.2">
      <c r="A46" s="132"/>
      <c r="B46" s="22"/>
      <c r="C46" s="12"/>
      <c r="D46" s="12"/>
      <c r="E46" s="12"/>
      <c r="F46" s="12"/>
      <c r="G46" s="12"/>
      <c r="H46" s="12"/>
      <c r="I46" s="78"/>
      <c r="K46" s="44"/>
    </row>
    <row r="47" spans="1:14" ht="42.75" customHeight="1" x14ac:dyDescent="0.2">
      <c r="A47" s="134" t="s">
        <v>87</v>
      </c>
      <c r="B47" s="22"/>
      <c r="C47" s="12"/>
      <c r="D47" s="12"/>
      <c r="E47" s="12"/>
      <c r="F47" s="12"/>
      <c r="G47" s="12"/>
      <c r="H47" s="12"/>
      <c r="I47" s="78"/>
      <c r="K47" s="45"/>
    </row>
    <row r="48" spans="1:14" ht="14.25" customHeight="1" x14ac:dyDescent="0.2">
      <c r="A48" s="111" t="s">
        <v>44</v>
      </c>
      <c r="B48" s="38" t="s">
        <v>88</v>
      </c>
      <c r="C48" s="38" t="s">
        <v>89</v>
      </c>
      <c r="D48" s="39" t="s">
        <v>45</v>
      </c>
      <c r="E48" s="40" t="s">
        <v>46</v>
      </c>
      <c r="F48" s="40" t="s">
        <v>75</v>
      </c>
      <c r="G48" s="40" t="s">
        <v>47</v>
      </c>
      <c r="H48" s="200" t="s">
        <v>76</v>
      </c>
      <c r="I48" s="200"/>
      <c r="K48" s="45"/>
    </row>
    <row r="49" spans="1:11" ht="27.75" customHeight="1" x14ac:dyDescent="0.2">
      <c r="A49" s="109" t="s">
        <v>118</v>
      </c>
      <c r="B49" s="38"/>
      <c r="C49" s="38"/>
      <c r="D49" s="39"/>
      <c r="E49" s="40"/>
      <c r="F49" s="40"/>
      <c r="G49" s="40"/>
      <c r="H49" s="205"/>
      <c r="I49" s="206"/>
      <c r="K49" s="49" t="s">
        <v>53</v>
      </c>
    </row>
    <row r="50" spans="1:11" ht="29.25" customHeight="1" x14ac:dyDescent="0.2">
      <c r="A50" s="109" t="s">
        <v>119</v>
      </c>
      <c r="B50" s="89"/>
      <c r="C50" s="89"/>
      <c r="D50" s="89"/>
      <c r="E50" s="101">
        <f>3001100*0.1</f>
        <v>300110</v>
      </c>
      <c r="F50" s="89">
        <v>41760</v>
      </c>
      <c r="G50" s="89"/>
      <c r="H50" s="201" t="s">
        <v>117</v>
      </c>
      <c r="I50" s="202"/>
      <c r="K50" s="195" t="s">
        <v>54</v>
      </c>
    </row>
    <row r="51" spans="1:11" ht="14.25" customHeight="1" x14ac:dyDescent="0.2">
      <c r="A51" s="136" t="s">
        <v>84</v>
      </c>
      <c r="B51" s="89" t="s">
        <v>111</v>
      </c>
      <c r="C51" s="89" t="s">
        <v>95</v>
      </c>
      <c r="D51" s="89">
        <v>41760</v>
      </c>
      <c r="E51" s="101">
        <f>3001100*0.05</f>
        <v>150055</v>
      </c>
      <c r="F51" s="89">
        <v>41760</v>
      </c>
      <c r="G51" s="89" t="s">
        <v>95</v>
      </c>
      <c r="H51" s="201" t="s">
        <v>117</v>
      </c>
      <c r="I51" s="202"/>
      <c r="K51" s="196"/>
    </row>
    <row r="52" spans="1:11" ht="14.25" customHeight="1" x14ac:dyDescent="0.2">
      <c r="A52" s="137" t="s">
        <v>96</v>
      </c>
      <c r="B52" s="89" t="s">
        <v>112</v>
      </c>
      <c r="C52" s="89">
        <v>42005</v>
      </c>
      <c r="D52" s="89">
        <v>42050</v>
      </c>
      <c r="E52" s="101">
        <f>3001100*0.25</f>
        <v>750275</v>
      </c>
      <c r="F52" s="89">
        <v>42050</v>
      </c>
      <c r="G52" s="89" t="s">
        <v>95</v>
      </c>
      <c r="H52" s="201" t="s">
        <v>117</v>
      </c>
      <c r="I52" s="202"/>
      <c r="K52" s="8"/>
    </row>
    <row r="53" spans="1:11" ht="14.25" customHeight="1" x14ac:dyDescent="0.2">
      <c r="A53" s="138" t="s">
        <v>120</v>
      </c>
      <c r="B53" s="88" t="s">
        <v>113</v>
      </c>
      <c r="C53" s="89">
        <v>42036</v>
      </c>
      <c r="D53" s="89">
        <v>42050</v>
      </c>
      <c r="E53" s="86">
        <f>3001100*0.2</f>
        <v>600220</v>
      </c>
      <c r="F53" s="89">
        <v>42050</v>
      </c>
      <c r="G53" s="86" t="s">
        <v>95</v>
      </c>
      <c r="H53" s="201" t="s">
        <v>117</v>
      </c>
      <c r="I53" s="202"/>
      <c r="K53" s="49" t="s">
        <v>1</v>
      </c>
    </row>
    <row r="54" spans="1:11" x14ac:dyDescent="0.2">
      <c r="A54" s="139" t="s">
        <v>97</v>
      </c>
      <c r="B54" s="88" t="s">
        <v>113</v>
      </c>
      <c r="C54" s="89">
        <v>42036</v>
      </c>
      <c r="D54" s="89">
        <v>42050</v>
      </c>
      <c r="E54" s="86">
        <f>3001100*0.3</f>
        <v>900330</v>
      </c>
      <c r="F54" s="89"/>
      <c r="G54" s="86" t="s">
        <v>95</v>
      </c>
      <c r="H54" s="203" t="s">
        <v>134</v>
      </c>
      <c r="I54" s="204"/>
      <c r="K54" s="237" t="s">
        <v>82</v>
      </c>
    </row>
    <row r="55" spans="1:11" ht="25.5" x14ac:dyDescent="0.2">
      <c r="A55" s="137" t="s">
        <v>98</v>
      </c>
      <c r="B55" s="88" t="s">
        <v>114</v>
      </c>
      <c r="C55" s="89">
        <v>42036</v>
      </c>
      <c r="D55" s="86" t="s">
        <v>95</v>
      </c>
      <c r="E55" s="86">
        <f>3001100*0.05</f>
        <v>150055</v>
      </c>
      <c r="F55" s="86" t="s">
        <v>95</v>
      </c>
      <c r="G55" s="86" t="s">
        <v>95</v>
      </c>
      <c r="H55" s="203" t="s">
        <v>134</v>
      </c>
      <c r="I55" s="204"/>
      <c r="K55" s="238"/>
    </row>
    <row r="56" spans="1:11" s="37" customFormat="1" ht="25.5" customHeight="1" x14ac:dyDescent="0.2">
      <c r="A56" s="137" t="s">
        <v>121</v>
      </c>
      <c r="B56" s="88" t="s">
        <v>115</v>
      </c>
      <c r="C56" s="89" t="s">
        <v>116</v>
      </c>
      <c r="D56" s="86" t="s">
        <v>95</v>
      </c>
      <c r="E56" s="86">
        <f>3001100*0.05</f>
        <v>150055</v>
      </c>
      <c r="F56" s="86" t="s">
        <v>95</v>
      </c>
      <c r="G56" s="86" t="s">
        <v>95</v>
      </c>
      <c r="H56" s="203"/>
      <c r="I56" s="204"/>
      <c r="J56" s="1"/>
      <c r="K56" s="238"/>
    </row>
    <row r="57" spans="1:11" s="37" customFormat="1" ht="15.75" customHeight="1" x14ac:dyDescent="0.2">
      <c r="A57" s="139"/>
      <c r="B57" s="88"/>
      <c r="C57" s="108"/>
      <c r="D57" s="86"/>
      <c r="E57" s="90"/>
      <c r="F57" s="86"/>
      <c r="G57" s="86"/>
      <c r="H57" s="171"/>
      <c r="I57" s="171"/>
      <c r="J57" s="1"/>
      <c r="K57" s="239"/>
    </row>
    <row r="58" spans="1:11" s="37" customFormat="1" ht="31.5" customHeight="1" thickBot="1" x14ac:dyDescent="0.25">
      <c r="A58" s="140"/>
      <c r="B58" s="108"/>
      <c r="C58" s="108"/>
      <c r="D58" s="108"/>
      <c r="E58" s="91"/>
      <c r="F58" s="108"/>
      <c r="G58" s="108"/>
      <c r="H58" s="172"/>
      <c r="I58" s="172"/>
      <c r="J58" s="1"/>
      <c r="K58" s="54"/>
    </row>
    <row r="59" spans="1:11" s="37" customFormat="1" ht="29.25" customHeight="1" x14ac:dyDescent="0.2">
      <c r="A59" s="141" t="s">
        <v>77</v>
      </c>
      <c r="B59" s="46"/>
      <c r="C59" s="47"/>
      <c r="D59" s="47"/>
      <c r="E59" s="47"/>
      <c r="F59" s="47"/>
      <c r="G59" s="47"/>
      <c r="H59" s="47"/>
      <c r="I59" s="142"/>
      <c r="J59" s="1"/>
      <c r="K59" s="49" t="s">
        <v>13</v>
      </c>
    </row>
    <row r="60" spans="1:11" ht="33" customHeight="1" x14ac:dyDescent="0.2">
      <c r="A60" s="143"/>
      <c r="B60" s="48"/>
      <c r="C60" s="48"/>
      <c r="D60" s="48"/>
      <c r="E60" s="48"/>
      <c r="F60" s="48"/>
      <c r="G60" s="48"/>
      <c r="H60" s="48"/>
      <c r="I60" s="144"/>
      <c r="K60" s="240" t="s">
        <v>40</v>
      </c>
    </row>
    <row r="61" spans="1:11" s="3" customFormat="1" ht="69.75" customHeight="1" x14ac:dyDescent="0.2">
      <c r="A61" s="132" t="s">
        <v>21</v>
      </c>
      <c r="B61" s="22"/>
      <c r="C61" s="12"/>
      <c r="D61" s="12"/>
      <c r="E61" s="12"/>
      <c r="F61" s="12"/>
      <c r="G61" s="12"/>
      <c r="H61" s="12"/>
      <c r="I61" s="78"/>
      <c r="J61" s="1"/>
      <c r="K61" s="241"/>
    </row>
    <row r="62" spans="1:11" ht="28.5" customHeight="1" x14ac:dyDescent="0.2">
      <c r="A62" s="50" t="s">
        <v>19</v>
      </c>
      <c r="B62" s="50" t="s">
        <v>31</v>
      </c>
      <c r="C62" s="50" t="s">
        <v>32</v>
      </c>
      <c r="D62" s="50" t="s">
        <v>20</v>
      </c>
      <c r="E62" s="51"/>
      <c r="F62" s="16"/>
      <c r="G62" s="16"/>
      <c r="H62" s="16"/>
      <c r="I62" s="16"/>
      <c r="K62" s="238"/>
    </row>
    <row r="63" spans="1:11" ht="30" customHeight="1" x14ac:dyDescent="0.2">
      <c r="A63" s="50" t="s">
        <v>16</v>
      </c>
      <c r="B63" s="92" t="s">
        <v>78</v>
      </c>
      <c r="C63" s="92" t="s">
        <v>78</v>
      </c>
      <c r="D63" s="197" t="s">
        <v>78</v>
      </c>
      <c r="E63" s="198"/>
      <c r="F63" s="198"/>
      <c r="G63" s="198"/>
      <c r="H63" s="198"/>
      <c r="I63" s="199"/>
      <c r="K63" s="238"/>
    </row>
    <row r="64" spans="1:11" ht="28.5" customHeight="1" x14ac:dyDescent="0.2">
      <c r="A64" s="50" t="s">
        <v>17</v>
      </c>
      <c r="B64" s="92" t="s">
        <v>78</v>
      </c>
      <c r="C64" s="92" t="s">
        <v>78</v>
      </c>
      <c r="D64" s="197" t="s">
        <v>78</v>
      </c>
      <c r="E64" s="198"/>
      <c r="F64" s="198"/>
      <c r="G64" s="198"/>
      <c r="H64" s="198"/>
      <c r="I64" s="199"/>
      <c r="K64" s="238"/>
    </row>
    <row r="65" spans="1:11" x14ac:dyDescent="0.2">
      <c r="A65" s="50" t="s">
        <v>18</v>
      </c>
      <c r="B65" s="92" t="s">
        <v>78</v>
      </c>
      <c r="C65" s="92" t="s">
        <v>78</v>
      </c>
      <c r="D65" s="197" t="s">
        <v>78</v>
      </c>
      <c r="E65" s="198"/>
      <c r="F65" s="198"/>
      <c r="G65" s="198"/>
      <c r="H65" s="198"/>
      <c r="I65" s="199"/>
      <c r="K65" s="238"/>
    </row>
    <row r="66" spans="1:11" ht="12" customHeight="1" thickBot="1" x14ac:dyDescent="0.25">
      <c r="A66" s="145"/>
      <c r="B66" s="12"/>
      <c r="C66" s="12"/>
      <c r="D66" s="12"/>
      <c r="E66" s="12"/>
      <c r="F66" s="12"/>
      <c r="G66" s="12"/>
      <c r="H66" s="12"/>
      <c r="I66" s="78"/>
      <c r="K66" s="238"/>
    </row>
    <row r="67" spans="1:11" x14ac:dyDescent="0.2">
      <c r="A67" s="146" t="s">
        <v>85</v>
      </c>
      <c r="B67" s="52"/>
      <c r="C67" s="53"/>
      <c r="D67" s="53"/>
      <c r="E67" s="53"/>
      <c r="F67" s="53"/>
      <c r="G67" s="53"/>
      <c r="H67" s="53"/>
      <c r="I67" s="147"/>
      <c r="K67" s="238"/>
    </row>
    <row r="68" spans="1:11" x14ac:dyDescent="0.2">
      <c r="A68" s="244"/>
      <c r="B68" s="245"/>
      <c r="C68" s="245"/>
      <c r="D68" s="245"/>
      <c r="E68" s="246"/>
      <c r="F68" s="246"/>
      <c r="G68" s="246"/>
      <c r="H68" s="246"/>
      <c r="I68" s="247"/>
      <c r="K68" s="54"/>
    </row>
    <row r="69" spans="1:11" ht="12.75" customHeight="1" x14ac:dyDescent="0.2">
      <c r="A69" s="210" t="s">
        <v>135</v>
      </c>
      <c r="B69" s="211"/>
      <c r="C69" s="211"/>
      <c r="D69" s="211"/>
      <c r="E69" s="211"/>
      <c r="F69" s="211"/>
      <c r="G69" s="211"/>
      <c r="H69" s="211"/>
      <c r="I69" s="212"/>
      <c r="K69" s="49" t="s">
        <v>33</v>
      </c>
    </row>
    <row r="70" spans="1:11" ht="12.75" customHeight="1" x14ac:dyDescent="0.2">
      <c r="A70" s="210" t="s">
        <v>136</v>
      </c>
      <c r="B70" s="211"/>
      <c r="C70" s="211"/>
      <c r="D70" s="211"/>
      <c r="E70" s="211"/>
      <c r="F70" s="211"/>
      <c r="G70" s="211"/>
      <c r="H70" s="211"/>
      <c r="I70" s="212"/>
      <c r="K70" s="248" t="s">
        <v>41</v>
      </c>
    </row>
    <row r="71" spans="1:11" ht="16.5" customHeight="1" x14ac:dyDescent="0.2">
      <c r="A71" s="234"/>
      <c r="B71" s="235"/>
      <c r="C71" s="235"/>
      <c r="D71" s="235"/>
      <c r="E71" s="235"/>
      <c r="F71" s="235"/>
      <c r="G71" s="235"/>
      <c r="H71" s="235"/>
      <c r="I71" s="236"/>
      <c r="K71" s="248"/>
    </row>
    <row r="72" spans="1:11" x14ac:dyDescent="0.2">
      <c r="A72" s="234"/>
      <c r="B72" s="235"/>
      <c r="C72" s="235"/>
      <c r="D72" s="235"/>
      <c r="E72" s="235"/>
      <c r="F72" s="235"/>
      <c r="G72" s="235"/>
      <c r="H72" s="235"/>
      <c r="I72" s="236"/>
      <c r="K72" s="248"/>
    </row>
    <row r="73" spans="1:11" ht="12.75" customHeight="1" x14ac:dyDescent="0.2">
      <c r="A73" s="234"/>
      <c r="B73" s="235"/>
      <c r="C73" s="235"/>
      <c r="D73" s="235"/>
      <c r="E73" s="235"/>
      <c r="F73" s="235"/>
      <c r="G73" s="235"/>
      <c r="H73" s="235"/>
      <c r="I73" s="236"/>
      <c r="K73" s="248"/>
    </row>
    <row r="74" spans="1:11" x14ac:dyDescent="0.2">
      <c r="A74" s="234"/>
      <c r="B74" s="235"/>
      <c r="C74" s="235"/>
      <c r="D74" s="235"/>
      <c r="E74" s="235"/>
      <c r="F74" s="235"/>
      <c r="G74" s="235"/>
      <c r="H74" s="235"/>
      <c r="I74" s="236"/>
      <c r="K74" s="248"/>
    </row>
    <row r="75" spans="1:11" ht="17.25" customHeight="1" x14ac:dyDescent="0.2">
      <c r="A75" s="234"/>
      <c r="B75" s="235"/>
      <c r="C75" s="235"/>
      <c r="D75" s="235"/>
      <c r="E75" s="235"/>
      <c r="F75" s="235"/>
      <c r="G75" s="235"/>
      <c r="H75" s="235"/>
      <c r="I75" s="236"/>
      <c r="K75" s="248"/>
    </row>
    <row r="76" spans="1:11" ht="13.5" thickBot="1" x14ac:dyDescent="0.25">
      <c r="A76" s="145"/>
      <c r="B76" s="12"/>
      <c r="C76" s="12"/>
      <c r="D76" s="12"/>
      <c r="E76" s="12"/>
      <c r="F76" s="12"/>
      <c r="G76" s="12"/>
      <c r="H76" s="12"/>
      <c r="I76" s="78"/>
      <c r="K76" s="248"/>
    </row>
    <row r="77" spans="1:11" s="3" customFormat="1" ht="14.25" customHeight="1" x14ac:dyDescent="0.2">
      <c r="A77" s="148" t="s">
        <v>55</v>
      </c>
      <c r="B77" s="55"/>
      <c r="C77" s="56"/>
      <c r="D77" s="56"/>
      <c r="E77" s="56"/>
      <c r="F77" s="56"/>
      <c r="G77" s="56"/>
      <c r="H77" s="56"/>
      <c r="I77" s="149"/>
      <c r="J77" s="1"/>
      <c r="K77" s="1"/>
    </row>
    <row r="78" spans="1:11" ht="27" customHeight="1" x14ac:dyDescent="0.2">
      <c r="A78" s="150" t="s">
        <v>34</v>
      </c>
      <c r="B78" s="57"/>
      <c r="C78" s="58"/>
      <c r="D78" s="58"/>
      <c r="E78" s="198" t="s">
        <v>79</v>
      </c>
      <c r="F78" s="242"/>
      <c r="G78" s="242"/>
      <c r="H78" s="242"/>
      <c r="I78" s="243"/>
    </row>
    <row r="79" spans="1:11" ht="12.75" customHeight="1" x14ac:dyDescent="0.3">
      <c r="A79" s="151" t="s">
        <v>80</v>
      </c>
      <c r="B79" s="59"/>
      <c r="C79" s="60"/>
      <c r="D79" s="61" t="s">
        <v>23</v>
      </c>
      <c r="E79" s="60"/>
      <c r="F79" s="61" t="s">
        <v>24</v>
      </c>
      <c r="G79" s="61" t="s">
        <v>22</v>
      </c>
      <c r="H79" s="60"/>
      <c r="I79" s="152"/>
    </row>
    <row r="80" spans="1:11" ht="12.75" customHeight="1" x14ac:dyDescent="0.2">
      <c r="A80" s="210" t="s">
        <v>137</v>
      </c>
      <c r="B80" s="211"/>
      <c r="C80" s="211"/>
      <c r="D80" s="211"/>
      <c r="E80" s="211"/>
      <c r="F80" s="211"/>
      <c r="G80" s="211"/>
      <c r="H80" s="211"/>
      <c r="I80" s="212"/>
    </row>
    <row r="81" spans="1:11" x14ac:dyDescent="0.2">
      <c r="A81" s="210"/>
      <c r="B81" s="211"/>
      <c r="C81" s="211"/>
      <c r="D81" s="211"/>
      <c r="E81" s="211"/>
      <c r="F81" s="211"/>
      <c r="G81" s="211"/>
      <c r="H81" s="211"/>
      <c r="I81" s="212"/>
      <c r="K81" s="1" t="s">
        <v>35</v>
      </c>
    </row>
    <row r="82" spans="1:11" x14ac:dyDescent="0.2">
      <c r="A82" s="210"/>
      <c r="B82" s="211"/>
      <c r="C82" s="211"/>
      <c r="D82" s="211"/>
      <c r="E82" s="211"/>
      <c r="F82" s="211"/>
      <c r="G82" s="211"/>
      <c r="H82" s="211"/>
      <c r="I82" s="212"/>
      <c r="K82" s="167" t="s">
        <v>42</v>
      </c>
    </row>
    <row r="83" spans="1:11" x14ac:dyDescent="0.2">
      <c r="A83" s="213"/>
      <c r="B83" s="214"/>
      <c r="C83" s="214"/>
      <c r="D83" s="214"/>
      <c r="E83" s="214"/>
      <c r="F83" s="214"/>
      <c r="G83" s="214"/>
      <c r="H83" s="214"/>
      <c r="I83" s="215"/>
    </row>
    <row r="84" spans="1:11" x14ac:dyDescent="0.2">
      <c r="A84" s="213"/>
      <c r="B84" s="214"/>
      <c r="C84" s="214"/>
      <c r="D84" s="214"/>
      <c r="E84" s="214"/>
      <c r="F84" s="214"/>
      <c r="G84" s="214"/>
      <c r="H84" s="214"/>
      <c r="I84" s="215"/>
    </row>
    <row r="85" spans="1:11" x14ac:dyDescent="0.2">
      <c r="A85" s="216"/>
      <c r="B85" s="217"/>
      <c r="C85" s="217"/>
      <c r="D85" s="217"/>
      <c r="E85" s="217"/>
      <c r="F85" s="217"/>
      <c r="G85" s="217"/>
      <c r="H85" s="217"/>
      <c r="I85" s="218"/>
    </row>
    <row r="86" spans="1:11" ht="13.5" customHeight="1" x14ac:dyDescent="0.2">
      <c r="A86" s="216"/>
      <c r="B86" s="217"/>
      <c r="C86" s="217"/>
      <c r="D86" s="217"/>
      <c r="E86" s="217"/>
      <c r="F86" s="217"/>
      <c r="G86" s="217"/>
      <c r="H86" s="217"/>
      <c r="I86" s="218"/>
    </row>
    <row r="87" spans="1:11" s="3" customFormat="1" ht="15" customHeight="1" thickBot="1" x14ac:dyDescent="0.25">
      <c r="A87" s="219"/>
      <c r="B87" s="220"/>
      <c r="C87" s="220"/>
      <c r="D87" s="220"/>
      <c r="E87" s="220"/>
      <c r="F87" s="220"/>
      <c r="G87" s="220"/>
      <c r="H87" s="220"/>
      <c r="I87" s="221"/>
      <c r="J87" s="1"/>
      <c r="K87" s="1" t="s">
        <v>14</v>
      </c>
    </row>
    <row r="88" spans="1:11" ht="13.5" customHeight="1" thickBot="1" x14ac:dyDescent="0.25">
      <c r="A88" s="153"/>
      <c r="B88" s="62"/>
      <c r="C88" s="63"/>
      <c r="D88" s="63"/>
      <c r="E88" s="63"/>
      <c r="F88" s="63"/>
      <c r="G88" s="63"/>
      <c r="H88" s="63"/>
      <c r="I88" s="154"/>
      <c r="K88" s="168" t="s">
        <v>38</v>
      </c>
    </row>
    <row r="89" spans="1:11" ht="12.75" customHeight="1" x14ac:dyDescent="0.2">
      <c r="A89" s="222" t="s">
        <v>35</v>
      </c>
      <c r="B89" s="223"/>
      <c r="C89" s="223"/>
      <c r="D89" s="224"/>
      <c r="E89" s="64" t="s">
        <v>36</v>
      </c>
      <c r="F89" s="65" t="s">
        <v>37</v>
      </c>
      <c r="G89" s="56"/>
      <c r="H89" s="56"/>
      <c r="I89" s="149"/>
    </row>
    <row r="90" spans="1:11" x14ac:dyDescent="0.2">
      <c r="A90" s="225" t="s">
        <v>130</v>
      </c>
      <c r="B90" s="226"/>
      <c r="C90" s="226"/>
      <c r="D90" s="227"/>
      <c r="E90" s="66"/>
      <c r="F90" s="228"/>
      <c r="G90" s="229"/>
      <c r="H90" s="229"/>
      <c r="I90" s="230"/>
    </row>
    <row r="91" spans="1:11" x14ac:dyDescent="0.2">
      <c r="A91" s="155" t="s">
        <v>129</v>
      </c>
      <c r="B91" s="67"/>
      <c r="C91" s="67"/>
      <c r="D91" s="68"/>
      <c r="E91" s="66"/>
      <c r="F91" s="69"/>
      <c r="G91" s="70"/>
      <c r="H91" s="70"/>
      <c r="I91" s="156"/>
    </row>
    <row r="92" spans="1:11" x14ac:dyDescent="0.2">
      <c r="A92" s="157" t="s">
        <v>138</v>
      </c>
      <c r="B92" s="71"/>
      <c r="C92" s="71"/>
      <c r="D92" s="72"/>
      <c r="E92" s="73"/>
      <c r="F92" s="74"/>
      <c r="G92" s="75"/>
      <c r="H92" s="75"/>
      <c r="I92" s="158"/>
    </row>
    <row r="93" spans="1:11" x14ac:dyDescent="0.2">
      <c r="A93" s="231"/>
      <c r="B93" s="232"/>
      <c r="C93" s="232"/>
      <c r="D93" s="233"/>
      <c r="E93" s="112"/>
      <c r="F93" s="76"/>
      <c r="G93" s="77"/>
      <c r="H93" s="77"/>
      <c r="I93" s="159"/>
    </row>
    <row r="94" spans="1:11" x14ac:dyDescent="0.2">
      <c r="A94" s="145"/>
      <c r="B94" s="12"/>
      <c r="C94" s="12"/>
      <c r="D94" s="12"/>
      <c r="E94" s="12"/>
      <c r="F94" s="12"/>
      <c r="G94" s="78"/>
      <c r="H94" s="12"/>
      <c r="I94" s="78"/>
    </row>
    <row r="95" spans="1:11" x14ac:dyDescent="0.2">
      <c r="A95" s="160" t="s">
        <v>90</v>
      </c>
      <c r="B95" s="79"/>
      <c r="C95" s="9"/>
      <c r="D95" s="9"/>
      <c r="E95" s="9"/>
      <c r="F95" s="9"/>
      <c r="G95" s="80"/>
      <c r="H95" s="80" t="s">
        <v>36</v>
      </c>
      <c r="I95" s="161" t="s">
        <v>10</v>
      </c>
    </row>
    <row r="96" spans="1:11" x14ac:dyDescent="0.2">
      <c r="A96" s="207" t="s">
        <v>131</v>
      </c>
      <c r="B96" s="208"/>
      <c r="C96" s="208"/>
      <c r="D96" s="208"/>
      <c r="E96" s="208"/>
      <c r="F96" s="208"/>
      <c r="G96" s="209"/>
      <c r="H96" s="93">
        <v>42226</v>
      </c>
      <c r="I96" s="162" t="s">
        <v>139</v>
      </c>
    </row>
    <row r="97" spans="1:10" x14ac:dyDescent="0.2">
      <c r="A97" s="207" t="s">
        <v>132</v>
      </c>
      <c r="B97" s="208"/>
      <c r="C97" s="208"/>
      <c r="D97" s="208"/>
      <c r="E97" s="208"/>
      <c r="F97" s="208"/>
      <c r="G97" s="209"/>
      <c r="H97" s="94">
        <v>42258</v>
      </c>
      <c r="I97" s="162" t="s">
        <v>139</v>
      </c>
    </row>
    <row r="98" spans="1:10" x14ac:dyDescent="0.2">
      <c r="A98" s="207" t="s">
        <v>138</v>
      </c>
      <c r="B98" s="208"/>
      <c r="C98" s="208"/>
      <c r="D98" s="208"/>
      <c r="E98" s="208"/>
      <c r="F98" s="208"/>
      <c r="G98" s="209"/>
      <c r="H98" s="94"/>
      <c r="I98" s="162" t="s">
        <v>139</v>
      </c>
    </row>
    <row r="99" spans="1:10" ht="14.25" customHeight="1" x14ac:dyDescent="0.2">
      <c r="A99" s="207"/>
      <c r="B99" s="208"/>
      <c r="C99" s="208"/>
      <c r="D99" s="208"/>
      <c r="E99" s="208"/>
      <c r="F99" s="208"/>
      <c r="G99" s="209"/>
      <c r="H99" s="95"/>
      <c r="I99" s="68"/>
    </row>
    <row r="100" spans="1:10" x14ac:dyDescent="0.2">
      <c r="A100" s="163"/>
      <c r="B100" s="81"/>
      <c r="C100" s="82"/>
      <c r="D100" s="82"/>
      <c r="E100" s="82"/>
      <c r="F100" s="82"/>
      <c r="G100" s="68"/>
      <c r="H100" s="68"/>
      <c r="I100" s="66"/>
    </row>
    <row r="101" spans="1:10" x14ac:dyDescent="0.2">
      <c r="A101" s="164"/>
      <c r="B101" s="165"/>
      <c r="C101" s="166"/>
      <c r="D101" s="166"/>
      <c r="E101" s="166"/>
      <c r="F101" s="166"/>
      <c r="G101" s="112"/>
      <c r="H101" s="112"/>
      <c r="I101" s="112"/>
    </row>
    <row r="102" spans="1:10" x14ac:dyDescent="0.2">
      <c r="A102" s="249"/>
      <c r="B102" s="249"/>
      <c r="C102" s="249"/>
      <c r="D102" s="249"/>
      <c r="E102" s="83"/>
      <c r="F102" s="249"/>
      <c r="G102" s="249"/>
      <c r="H102" s="83"/>
      <c r="I102" s="249"/>
      <c r="J102" s="102"/>
    </row>
    <row r="103" spans="1:10" ht="12.75" customHeight="1" x14ac:dyDescent="0.2">
      <c r="A103" s="249"/>
      <c r="B103" s="249"/>
      <c r="C103" s="249"/>
      <c r="D103" s="249"/>
      <c r="E103" s="83"/>
      <c r="F103" s="249"/>
      <c r="G103" s="249"/>
      <c r="H103" s="83"/>
      <c r="I103" s="249"/>
      <c r="J103" s="102"/>
    </row>
    <row r="104" spans="1:10" x14ac:dyDescent="0.2">
      <c r="A104" s="249"/>
      <c r="B104" s="249"/>
      <c r="C104" s="249"/>
      <c r="D104" s="249"/>
      <c r="E104" s="83"/>
      <c r="F104" s="249"/>
      <c r="G104" s="249"/>
      <c r="H104" s="83"/>
      <c r="I104" s="249"/>
      <c r="J104" s="102"/>
    </row>
    <row r="105" spans="1:10" x14ac:dyDescent="0.2">
      <c r="A105" s="249"/>
      <c r="B105" s="249"/>
      <c r="C105" s="249"/>
      <c r="D105" s="249"/>
      <c r="F105" s="249"/>
      <c r="G105" s="249"/>
      <c r="I105" s="249"/>
      <c r="J105" s="102"/>
    </row>
    <row r="107" spans="1:10" ht="12.75" customHeight="1" x14ac:dyDescent="0.2"/>
    <row r="111" spans="1:10" ht="13.5" customHeight="1" x14ac:dyDescent="0.2"/>
    <row r="112" spans="1:10" ht="4.5" customHeight="1" x14ac:dyDescent="0.2"/>
    <row r="117" ht="5.25" customHeight="1" x14ac:dyDescent="0.2"/>
  </sheetData>
  <dataConsolidate/>
  <mergeCells count="93">
    <mergeCell ref="A99:G99"/>
    <mergeCell ref="A102:B105"/>
    <mergeCell ref="C102:D105"/>
    <mergeCell ref="F102:G105"/>
    <mergeCell ref="I102:I105"/>
    <mergeCell ref="A74:I74"/>
    <mergeCell ref="A75:I75"/>
    <mergeCell ref="K54:K57"/>
    <mergeCell ref="K60:K67"/>
    <mergeCell ref="E78:I78"/>
    <mergeCell ref="D65:I65"/>
    <mergeCell ref="A68:B68"/>
    <mergeCell ref="C68:I68"/>
    <mergeCell ref="A69:I69"/>
    <mergeCell ref="A70:I70"/>
    <mergeCell ref="A71:I71"/>
    <mergeCell ref="A72:I72"/>
    <mergeCell ref="A73:I73"/>
    <mergeCell ref="D64:I64"/>
    <mergeCell ref="H56:I56"/>
    <mergeCell ref="K70:K76"/>
    <mergeCell ref="A98:G98"/>
    <mergeCell ref="A80:I80"/>
    <mergeCell ref="A81:I81"/>
    <mergeCell ref="A82:I82"/>
    <mergeCell ref="A83:I83"/>
    <mergeCell ref="A84:I84"/>
    <mergeCell ref="A85:I85"/>
    <mergeCell ref="A86:I86"/>
    <mergeCell ref="A87:I87"/>
    <mergeCell ref="A89:D89"/>
    <mergeCell ref="A90:D90"/>
    <mergeCell ref="F90:I90"/>
    <mergeCell ref="A93:D93"/>
    <mergeCell ref="A96:G96"/>
    <mergeCell ref="A97:G97"/>
    <mergeCell ref="K50:K51"/>
    <mergeCell ref="D63:I63"/>
    <mergeCell ref="A43:B43"/>
    <mergeCell ref="H43:I43"/>
    <mergeCell ref="A45:B45"/>
    <mergeCell ref="H45:I45"/>
    <mergeCell ref="H48:I48"/>
    <mergeCell ref="H50:I50"/>
    <mergeCell ref="H52:I52"/>
    <mergeCell ref="H53:I53"/>
    <mergeCell ref="H54:I54"/>
    <mergeCell ref="A44:B44"/>
    <mergeCell ref="H44:I44"/>
    <mergeCell ref="H49:I49"/>
    <mergeCell ref="H51:I51"/>
    <mergeCell ref="H55:I55"/>
    <mergeCell ref="A27:C27"/>
    <mergeCell ref="A32:C32"/>
    <mergeCell ref="A28:C28"/>
    <mergeCell ref="A29:C29"/>
    <mergeCell ref="K1:K3"/>
    <mergeCell ref="D23:D24"/>
    <mergeCell ref="E23:G23"/>
    <mergeCell ref="H23:H24"/>
    <mergeCell ref="I23:I24"/>
    <mergeCell ref="A26:F26"/>
    <mergeCell ref="B17:C18"/>
    <mergeCell ref="A17:A18"/>
    <mergeCell ref="B19:C19"/>
    <mergeCell ref="A15:I15"/>
    <mergeCell ref="B16:I16"/>
    <mergeCell ref="A30:C30"/>
    <mergeCell ref="A31:C31"/>
    <mergeCell ref="A37:B37"/>
    <mergeCell ref="H37:I37"/>
    <mergeCell ref="A35:B36"/>
    <mergeCell ref="C35:C36"/>
    <mergeCell ref="D35:G35"/>
    <mergeCell ref="H35:I36"/>
    <mergeCell ref="K7:K13"/>
    <mergeCell ref="A20:C20"/>
    <mergeCell ref="D20:F20"/>
    <mergeCell ref="G20:I20"/>
    <mergeCell ref="A23:C23"/>
    <mergeCell ref="K16:K20"/>
    <mergeCell ref="A38:B38"/>
    <mergeCell ref="H38:I38"/>
    <mergeCell ref="A39:B39"/>
    <mergeCell ref="H57:I57"/>
    <mergeCell ref="H58:I58"/>
    <mergeCell ref="H39:I39"/>
    <mergeCell ref="A40:B40"/>
    <mergeCell ref="H40:I40"/>
    <mergeCell ref="A41:B41"/>
    <mergeCell ref="H41:I41"/>
    <mergeCell ref="A42:B42"/>
    <mergeCell ref="H42:I42"/>
  </mergeCells>
  <printOptions horizontalCentered="1"/>
  <pageMargins left="0.55118110236220474" right="7.874015748031496E-2" top="0.15748031496062992" bottom="0.11811023622047245" header="0.15748031496062992" footer="0.19685039370078741"/>
  <pageSetup paperSize="9" scale="44" orientation="portrait" r:id="rId1"/>
  <headerFooter alignWithMargins="0">
    <oddFooter>&amp;L&amp;D, &amp;T</oddFooter>
  </headerFooter>
  <drawing r:id="rId2"/>
  <legacyDrawing r:id="rId3"/>
  <controls>
    <mc:AlternateContent xmlns:mc="http://schemas.openxmlformats.org/markup-compatibility/2006">
      <mc:Choice Requires="x14">
        <control shapeId="2062" r:id="rId4" name="CheckBox17">
          <controlPr defaultSize="0" autoLine="0" r:id="rId5">
            <anchor moveWithCells="1">
              <from>
                <xdr:col>2</xdr:col>
                <xdr:colOff>847725</xdr:colOff>
                <xdr:row>78</xdr:row>
                <xdr:rowOff>19050</xdr:rowOff>
              </from>
              <to>
                <xdr:col>2</xdr:col>
                <xdr:colOff>990600</xdr:colOff>
                <xdr:row>79</xdr:row>
                <xdr:rowOff>19050</xdr:rowOff>
              </to>
            </anchor>
          </controlPr>
        </control>
      </mc:Choice>
      <mc:Fallback>
        <control shapeId="2062" r:id="rId4" name="CheckBox17"/>
      </mc:Fallback>
    </mc:AlternateContent>
    <mc:AlternateContent xmlns:mc="http://schemas.openxmlformats.org/markup-compatibility/2006">
      <mc:Choice Requires="x14">
        <control shapeId="2061" r:id="rId6" name="CheckBox4">
          <controlPr defaultSize="0" autoLine="0" r:id="rId7">
            <anchor moveWithCells="1">
              <from>
                <xdr:col>1</xdr:col>
                <xdr:colOff>1085850</xdr:colOff>
                <xdr:row>66</xdr:row>
                <xdr:rowOff>47625</xdr:rowOff>
              </from>
              <to>
                <xdr:col>2</xdr:col>
                <xdr:colOff>123825</xdr:colOff>
                <xdr:row>67</xdr:row>
                <xdr:rowOff>47625</xdr:rowOff>
              </to>
            </anchor>
          </controlPr>
        </control>
      </mc:Choice>
      <mc:Fallback>
        <control shapeId="2061" r:id="rId6" name="CheckBox4"/>
      </mc:Fallback>
    </mc:AlternateContent>
    <mc:AlternateContent xmlns:mc="http://schemas.openxmlformats.org/markup-compatibility/2006">
      <mc:Choice Requires="x14">
        <control shapeId="2060" r:id="rId8" name="CheckBox16">
          <controlPr defaultSize="0" autoLine="0" r:id="rId9">
            <anchor moveWithCells="1">
              <from>
                <xdr:col>2</xdr:col>
                <xdr:colOff>552450</xdr:colOff>
                <xdr:row>66</xdr:row>
                <xdr:rowOff>57150</xdr:rowOff>
              </from>
              <to>
                <xdr:col>2</xdr:col>
                <xdr:colOff>685800</xdr:colOff>
                <xdr:row>67</xdr:row>
                <xdr:rowOff>28575</xdr:rowOff>
              </to>
            </anchor>
          </controlPr>
        </control>
      </mc:Choice>
      <mc:Fallback>
        <control shapeId="2060" r:id="rId8" name="CheckBox16"/>
      </mc:Fallback>
    </mc:AlternateContent>
    <mc:AlternateContent xmlns:mc="http://schemas.openxmlformats.org/markup-compatibility/2006">
      <mc:Choice Requires="x14">
        <control shapeId="2059" r:id="rId10" name="CheckBox14">
          <controlPr defaultSize="0" autoLine="0" r:id="rId11">
            <anchor moveWithCells="1">
              <from>
                <xdr:col>0</xdr:col>
                <xdr:colOff>9525</xdr:colOff>
                <xdr:row>78</xdr:row>
                <xdr:rowOff>9525</xdr:rowOff>
              </from>
              <to>
                <xdr:col>0</xdr:col>
                <xdr:colOff>152400</xdr:colOff>
                <xdr:row>79</xdr:row>
                <xdr:rowOff>9525</xdr:rowOff>
              </to>
            </anchor>
          </controlPr>
        </control>
      </mc:Choice>
      <mc:Fallback>
        <control shapeId="2059" r:id="rId10" name="CheckBox14"/>
      </mc:Fallback>
    </mc:AlternateContent>
    <mc:AlternateContent xmlns:mc="http://schemas.openxmlformats.org/markup-compatibility/2006">
      <mc:Choice Requires="x14">
        <control shapeId="2058" r:id="rId12" name="CheckBox13">
          <controlPr defaultSize="0" autoLine="0" r:id="rId13">
            <anchor moveWithCells="1">
              <from>
                <xdr:col>2</xdr:col>
                <xdr:colOff>47625</xdr:colOff>
                <xdr:row>78</xdr:row>
                <xdr:rowOff>19050</xdr:rowOff>
              </from>
              <to>
                <xdr:col>2</xdr:col>
                <xdr:colOff>190500</xdr:colOff>
                <xdr:row>79</xdr:row>
                <xdr:rowOff>19050</xdr:rowOff>
              </to>
            </anchor>
          </controlPr>
        </control>
      </mc:Choice>
      <mc:Fallback>
        <control shapeId="2058" r:id="rId12" name="CheckBox13"/>
      </mc:Fallback>
    </mc:AlternateContent>
    <mc:AlternateContent xmlns:mc="http://schemas.openxmlformats.org/markup-compatibility/2006">
      <mc:Choice Requires="x14">
        <control shapeId="2057" r:id="rId14" name="CheckBox11">
          <controlPr defaultSize="0" autoLine="0" r:id="rId15">
            <anchor moveWithCells="1">
              <from>
                <xdr:col>3</xdr:col>
                <xdr:colOff>752475</xdr:colOff>
                <xdr:row>78</xdr:row>
                <xdr:rowOff>9525</xdr:rowOff>
              </from>
              <to>
                <xdr:col>3</xdr:col>
                <xdr:colOff>895350</xdr:colOff>
                <xdr:row>79</xdr:row>
                <xdr:rowOff>9525</xdr:rowOff>
              </to>
            </anchor>
          </controlPr>
        </control>
      </mc:Choice>
      <mc:Fallback>
        <control shapeId="2057" r:id="rId14" name="CheckBox11"/>
      </mc:Fallback>
    </mc:AlternateContent>
    <mc:AlternateContent xmlns:mc="http://schemas.openxmlformats.org/markup-compatibility/2006">
      <mc:Choice Requires="x14">
        <control shapeId="2056" r:id="rId16" name="CheckBox10">
          <controlPr defaultSize="0" autoLine="0" r:id="rId17">
            <anchor moveWithCells="1">
              <from>
                <xdr:col>4</xdr:col>
                <xdr:colOff>866775</xdr:colOff>
                <xdr:row>78</xdr:row>
                <xdr:rowOff>9525</xdr:rowOff>
              </from>
              <to>
                <xdr:col>5</xdr:col>
                <xdr:colOff>19050</xdr:colOff>
                <xdr:row>79</xdr:row>
                <xdr:rowOff>9525</xdr:rowOff>
              </to>
            </anchor>
          </controlPr>
        </control>
      </mc:Choice>
      <mc:Fallback>
        <control shapeId="2056" r:id="rId16" name="CheckBox10"/>
      </mc:Fallback>
    </mc:AlternateContent>
    <mc:AlternateContent xmlns:mc="http://schemas.openxmlformats.org/markup-compatibility/2006">
      <mc:Choice Requires="x14">
        <control shapeId="2055" r:id="rId18" name="CheckBox9">
          <controlPr defaultSize="0" autoLine="0" r:id="rId19">
            <anchor moveWithCells="1">
              <from>
                <xdr:col>5</xdr:col>
                <xdr:colOff>276225</xdr:colOff>
                <xdr:row>78</xdr:row>
                <xdr:rowOff>28575</xdr:rowOff>
              </from>
              <to>
                <xdr:col>5</xdr:col>
                <xdr:colOff>419100</xdr:colOff>
                <xdr:row>79</xdr:row>
                <xdr:rowOff>19050</xdr:rowOff>
              </to>
            </anchor>
          </controlPr>
        </control>
      </mc:Choice>
      <mc:Fallback>
        <control shapeId="2055" r:id="rId18" name="CheckBox9"/>
      </mc:Fallback>
    </mc:AlternateContent>
    <mc:AlternateContent xmlns:mc="http://schemas.openxmlformats.org/markup-compatibility/2006">
      <mc:Choice Requires="x14">
        <control shapeId="2054" r:id="rId20" name="CheckBox5">
          <controlPr defaultSize="0" autoLine="0" r:id="rId21">
            <anchor moveWithCells="1">
              <from>
                <xdr:col>6</xdr:col>
                <xdr:colOff>19050</xdr:colOff>
                <xdr:row>78</xdr:row>
                <xdr:rowOff>28575</xdr:rowOff>
              </from>
              <to>
                <xdr:col>6</xdr:col>
                <xdr:colOff>171450</xdr:colOff>
                <xdr:row>79</xdr:row>
                <xdr:rowOff>19050</xdr:rowOff>
              </to>
            </anchor>
          </controlPr>
        </control>
      </mc:Choice>
      <mc:Fallback>
        <control shapeId="2054" r:id="rId20" name="CheckBox5"/>
      </mc:Fallback>
    </mc:AlternateContent>
    <mc:AlternateContent xmlns:mc="http://schemas.openxmlformats.org/markup-compatibility/2006">
      <mc:Choice Requires="x14">
        <control shapeId="2053" r:id="rId22" name="CheckBox15">
          <controlPr defaultSize="0" autoLine="0" r:id="rId23">
            <anchor moveWithCells="1">
              <from>
                <xdr:col>6</xdr:col>
                <xdr:colOff>714375</xdr:colOff>
                <xdr:row>78</xdr:row>
                <xdr:rowOff>28575</xdr:rowOff>
              </from>
              <to>
                <xdr:col>6</xdr:col>
                <xdr:colOff>857250</xdr:colOff>
                <xdr:row>79</xdr:row>
                <xdr:rowOff>19050</xdr:rowOff>
              </to>
            </anchor>
          </controlPr>
        </control>
      </mc:Choice>
      <mc:Fallback>
        <control shapeId="2053" r:id="rId22" name="CheckBox15"/>
      </mc:Fallback>
    </mc:AlternateContent>
    <mc:AlternateContent xmlns:mc="http://schemas.openxmlformats.org/markup-compatibility/2006">
      <mc:Choice Requires="x14">
        <control shapeId="2052" r:id="rId24" name="CheckBox8">
          <controlPr defaultSize="0" autoLine="0" r:id="rId25">
            <anchor moveWithCells="1">
              <from>
                <xdr:col>4</xdr:col>
                <xdr:colOff>95250</xdr:colOff>
                <xdr:row>66</xdr:row>
                <xdr:rowOff>38100</xdr:rowOff>
              </from>
              <to>
                <xdr:col>4</xdr:col>
                <xdr:colOff>266700</xdr:colOff>
                <xdr:row>67</xdr:row>
                <xdr:rowOff>38100</xdr:rowOff>
              </to>
            </anchor>
          </controlPr>
        </control>
      </mc:Choice>
      <mc:Fallback>
        <control shapeId="2052" r:id="rId24" name="CheckBox8"/>
      </mc:Fallback>
    </mc:AlternateContent>
    <mc:AlternateContent xmlns:mc="http://schemas.openxmlformats.org/markup-compatibility/2006">
      <mc:Choice Requires="x14">
        <control shapeId="2051" r:id="rId26" name="CheckBox7">
          <controlPr defaultSize="0" autoLine="0" r:id="rId27">
            <anchor moveWithCells="1">
              <from>
                <xdr:col>8</xdr:col>
                <xdr:colOff>361950</xdr:colOff>
                <xdr:row>19</xdr:row>
                <xdr:rowOff>0</xdr:rowOff>
              </from>
              <to>
                <xdr:col>8</xdr:col>
                <xdr:colOff>533400</xdr:colOff>
                <xdr:row>19</xdr:row>
                <xdr:rowOff>152400</xdr:rowOff>
              </to>
            </anchor>
          </controlPr>
        </control>
      </mc:Choice>
      <mc:Fallback>
        <control shapeId="2051" r:id="rId26" name="CheckBox7"/>
      </mc:Fallback>
    </mc:AlternateContent>
    <mc:AlternateContent xmlns:mc="http://schemas.openxmlformats.org/markup-compatibility/2006">
      <mc:Choice Requires="x14">
        <control shapeId="2050" r:id="rId28" name="CheckBox6">
          <controlPr defaultSize="0" autoLine="0" r:id="rId29">
            <anchor moveWithCells="1">
              <from>
                <xdr:col>7</xdr:col>
                <xdr:colOff>361950</xdr:colOff>
                <xdr:row>19</xdr:row>
                <xdr:rowOff>0</xdr:rowOff>
              </from>
              <to>
                <xdr:col>7</xdr:col>
                <xdr:colOff>533400</xdr:colOff>
                <xdr:row>19</xdr:row>
                <xdr:rowOff>152400</xdr:rowOff>
              </to>
            </anchor>
          </controlPr>
        </control>
      </mc:Choice>
      <mc:Fallback>
        <control shapeId="2050" r:id="rId28" name="CheckBox6"/>
      </mc:Fallback>
    </mc:AlternateContent>
    <mc:AlternateContent xmlns:mc="http://schemas.openxmlformats.org/markup-compatibility/2006">
      <mc:Choice Requires="x14">
        <control shapeId="2049" r:id="rId30" name="CheckBox3">
          <controlPr defaultSize="0" autoLine="0" r:id="rId31">
            <anchor moveWithCells="1">
              <from>
                <xdr:col>1</xdr:col>
                <xdr:colOff>485775</xdr:colOff>
                <xdr:row>66</xdr:row>
                <xdr:rowOff>28575</xdr:rowOff>
              </from>
              <to>
                <xdr:col>1</xdr:col>
                <xdr:colOff>657225</xdr:colOff>
                <xdr:row>67</xdr:row>
                <xdr:rowOff>28575</xdr:rowOff>
              </to>
            </anchor>
          </controlPr>
        </control>
      </mc:Choice>
      <mc:Fallback>
        <control shapeId="2049" r:id="rId30" name="CheckBox3"/>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Monthly PjM Report</vt:lpstr>
      <vt:lpstr>'Monthly PjM Report'!Print_Area</vt:lpstr>
    </vt:vector>
  </TitlesOfParts>
  <Company>MWH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Sukumaran</dc:creator>
  <cp:lastModifiedBy>Manasi_13122016_Comments</cp:lastModifiedBy>
  <cp:lastPrinted>2017-01-05T05:51:08Z</cp:lastPrinted>
  <dcterms:created xsi:type="dcterms:W3CDTF">2006-08-22T04:15:31Z</dcterms:created>
  <dcterms:modified xsi:type="dcterms:W3CDTF">2017-01-06T11:11:51Z</dcterms:modified>
</cp:coreProperties>
</file>