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20490" windowHeight="7095"/>
  </bookViews>
  <sheets>
    <sheet name="Revised Chase List" sheetId="1" r:id="rId1"/>
  </sheets>
  <definedNames>
    <definedName name="_xlnm.Print_Titles" localSheetId="0">'Revised Chase List'!$13:$13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4" i="1" l="1"/>
  <c r="X15" i="1"/>
  <c r="W35" i="1" l="1"/>
  <c r="X35" i="1" s="1"/>
  <c r="W34" i="1"/>
  <c r="X34" i="1" s="1"/>
  <c r="W33" i="1"/>
  <c r="X33" i="1" s="1"/>
  <c r="W32" i="1"/>
  <c r="X32" i="1" s="1"/>
  <c r="W31" i="1"/>
  <c r="X31" i="1" s="1"/>
  <c r="X30" i="1"/>
  <c r="X29" i="1"/>
  <c r="X28" i="1"/>
  <c r="X27" i="1"/>
  <c r="X23" i="1"/>
  <c r="W23" i="1"/>
  <c r="W19" i="1"/>
  <c r="X18" i="1"/>
  <c r="X20" i="1"/>
  <c r="X17" i="1"/>
  <c r="V16" i="1"/>
  <c r="W36" i="1" l="1"/>
  <c r="X36" i="1"/>
</calcChain>
</file>

<file path=xl/sharedStrings.xml><?xml version="1.0" encoding="utf-8"?>
<sst xmlns="http://schemas.openxmlformats.org/spreadsheetml/2006/main" count="506" uniqueCount="194">
  <si>
    <t>Sr. No</t>
  </si>
  <si>
    <t>Operation</t>
  </si>
  <si>
    <t>Work Name</t>
  </si>
  <si>
    <t>Client</t>
  </si>
  <si>
    <t>Client Sector</t>
  </si>
  <si>
    <t>Stage</t>
  </si>
  <si>
    <t>Strategic Ranking  (H/M/L)</t>
  </si>
  <si>
    <t>Bid Fees</t>
  </si>
  <si>
    <t>EMD</t>
  </si>
  <si>
    <t>Form of EMD</t>
  </si>
  <si>
    <t>Sector</t>
  </si>
  <si>
    <t>Bid Manager</t>
  </si>
  <si>
    <t>Contact person at Client</t>
  </si>
  <si>
    <t>Date of  Submission</t>
  </si>
  <si>
    <t>Likely start Date</t>
  </si>
  <si>
    <t>Percentage chance of project happening</t>
  </si>
  <si>
    <t>Percentage chance of NJS success/NJSEI</t>
  </si>
  <si>
    <t>Likely Competition</t>
  </si>
  <si>
    <t>Currency</t>
  </si>
  <si>
    <t>Capital Value</t>
  </si>
  <si>
    <t>Gross Revenue</t>
  </si>
  <si>
    <t>Net NJS Revenue</t>
  </si>
  <si>
    <t>Duration of project in Months</t>
  </si>
  <si>
    <t>Funding Stream</t>
  </si>
  <si>
    <t xml:space="preserve">Follow up Comments </t>
  </si>
  <si>
    <t>Notes</t>
  </si>
  <si>
    <t>Contract Type</t>
  </si>
  <si>
    <t>Probable Qualifying Criteria</t>
  </si>
  <si>
    <t>Strategy</t>
  </si>
  <si>
    <t>Additional Resource Requirement</t>
  </si>
  <si>
    <t xml:space="preserve">Follow up Notes </t>
  </si>
  <si>
    <t>Follow up date</t>
  </si>
  <si>
    <t>JalSwarajya Project II</t>
  </si>
  <si>
    <t>Director, RWSS, Govt of Maharashtra</t>
  </si>
  <si>
    <t>State Department</t>
  </si>
  <si>
    <t>A</t>
  </si>
  <si>
    <t>L</t>
  </si>
  <si>
    <t>NA</t>
  </si>
  <si>
    <t>Rural Water Supply</t>
  </si>
  <si>
    <t>M Pimputkar</t>
  </si>
  <si>
    <t>Won</t>
  </si>
  <si>
    <t>INR</t>
  </si>
  <si>
    <t>Additional request for information was supplied. Wait further news. To follow up by 10/12/2014</t>
  </si>
  <si>
    <t>Fixed Fee with unit rates for reform items</t>
  </si>
  <si>
    <t>NJSEI meets current crriteria</t>
  </si>
  <si>
    <t>Deploy teams at earliest</t>
  </si>
  <si>
    <t>None at this stage</t>
  </si>
  <si>
    <t>DPR for Rankala Lake Conservation Plan</t>
  </si>
  <si>
    <t>Kolhapur Municipal Corporation</t>
  </si>
  <si>
    <t>Municipal</t>
  </si>
  <si>
    <t>M</t>
  </si>
  <si>
    <t>BG</t>
  </si>
  <si>
    <t>Lake Conservation</t>
  </si>
  <si>
    <t>Sonali Katre</t>
  </si>
  <si>
    <t>Manish Pawar (HE)</t>
  </si>
  <si>
    <t>Sole Source</t>
  </si>
  <si>
    <t>KMC</t>
  </si>
  <si>
    <t>Inception Report ready to be submitted</t>
  </si>
  <si>
    <t>Fixed Fee</t>
  </si>
  <si>
    <t>Empanelled with KMC</t>
  </si>
  <si>
    <t xml:space="preserve">Yogesh Gokhale </t>
  </si>
  <si>
    <t>PMC for SWM for KMC - Takala</t>
  </si>
  <si>
    <t xml:space="preserve">PMC </t>
  </si>
  <si>
    <t xml:space="preserve">No further information </t>
  </si>
  <si>
    <t>PMC for 17MLD STP for KMC - Dudhali</t>
  </si>
  <si>
    <t>Job has been won</t>
  </si>
  <si>
    <t>Work order imminent</t>
  </si>
  <si>
    <t xml:space="preserve">MCGM SWD Tender </t>
  </si>
  <si>
    <t>Municipal Corporation of Greater Mumbai</t>
  </si>
  <si>
    <t>H</t>
  </si>
  <si>
    <t>Storm water</t>
  </si>
  <si>
    <t>D. Labde</t>
  </si>
  <si>
    <t>Sole Tender</t>
  </si>
  <si>
    <t>MCGM</t>
  </si>
  <si>
    <t>Tender was prepared and submitted. Main competition is MWH</t>
  </si>
  <si>
    <t>Nagpur Municipal Corporation</t>
  </si>
  <si>
    <t>Nil</t>
  </si>
  <si>
    <t>River Rejuvenation</t>
  </si>
  <si>
    <t>Mohamed Israel OSD NMC</t>
  </si>
  <si>
    <t>NMC</t>
  </si>
  <si>
    <t>Scope is being prepared for tendering by NMC</t>
  </si>
  <si>
    <t>All being met</t>
  </si>
  <si>
    <t>Follow up by KPNaik</t>
  </si>
  <si>
    <t>30/1/2015</t>
  </si>
  <si>
    <t>Water and Energy Audit for Nasik City</t>
  </si>
  <si>
    <t>Nashik Municipal Corporation</t>
  </si>
  <si>
    <t>B</t>
  </si>
  <si>
    <t>DD</t>
  </si>
  <si>
    <t>Water Distribution</t>
  </si>
  <si>
    <t>S.M. Chavanke / R.K. Pawar</t>
  </si>
  <si>
    <t>TBD</t>
  </si>
  <si>
    <t>NJS is technically qualified and L1 in price bid</t>
  </si>
  <si>
    <t>Needs to finalize contract with client</t>
  </si>
  <si>
    <t>NJSEI did not qualify for Energy Audit but teamed up with SavEn to qualify. May need someone else to help when actual work needs to be done</t>
  </si>
  <si>
    <t>We need to convince Mr. Pawar regarding new work</t>
  </si>
  <si>
    <t>Energy Auditor</t>
  </si>
  <si>
    <t>20/1/2015</t>
  </si>
  <si>
    <t>Storm Water Masterplan for VMC</t>
  </si>
  <si>
    <t>Vadodara Municipal Corporation</t>
  </si>
  <si>
    <t>Arvind Raghuvanshi</t>
  </si>
  <si>
    <t xml:space="preserve">P.M. Patel - City Engineer </t>
  </si>
  <si>
    <t>Not tendered yet</t>
  </si>
  <si>
    <t xml:space="preserve">MWH, CC Patel </t>
  </si>
  <si>
    <t>Concept</t>
  </si>
  <si>
    <t>VMSS</t>
  </si>
  <si>
    <t>CC Patel bid has been rejected by VMC as they are not qualified bidder</t>
  </si>
  <si>
    <t>To take this up after completing current water master plan</t>
  </si>
  <si>
    <t>Sewerage Masterplan for VMC</t>
  </si>
  <si>
    <t>Sewerage</t>
  </si>
  <si>
    <t>PMC for Sewerage for VMC</t>
  </si>
  <si>
    <t>Negotiation</t>
  </si>
  <si>
    <t>VMC</t>
  </si>
  <si>
    <t>Don’t know competition. VNS to enquire before submitting bid</t>
  </si>
  <si>
    <t>Percentage</t>
  </si>
  <si>
    <t>PMC for WS for VMC</t>
  </si>
  <si>
    <t>Water</t>
  </si>
  <si>
    <t>Pre-Tender</t>
  </si>
  <si>
    <t xml:space="preserve">NJSEI will qualify </t>
  </si>
  <si>
    <t>PMC for Microtunelling in sewerage</t>
  </si>
  <si>
    <t>P.M.Patel</t>
  </si>
  <si>
    <t>PMC for Welspun</t>
  </si>
  <si>
    <t>Welspun</t>
  </si>
  <si>
    <t>Private Sector</t>
  </si>
  <si>
    <t>STP</t>
  </si>
  <si>
    <t>K. Kamat</t>
  </si>
  <si>
    <t>Bharat Thanvi</t>
  </si>
  <si>
    <t>Pre-tender</t>
  </si>
  <si>
    <t>NJSEI  will qualify</t>
  </si>
  <si>
    <t xml:space="preserve">NJSEI well placed to take on work </t>
  </si>
  <si>
    <t xml:space="preserve">Not decided </t>
  </si>
  <si>
    <t>Pune Detailed Engineering and PMC</t>
  </si>
  <si>
    <t>NRCD</t>
  </si>
  <si>
    <t>Sewerage / STP</t>
  </si>
  <si>
    <t>Pradipto Sarkar / Mandar Pimputkar</t>
  </si>
  <si>
    <t>Sanjay Singh - NRCD</t>
  </si>
  <si>
    <t>NRCD / JICA</t>
  </si>
  <si>
    <t>NJS will qualify</t>
  </si>
  <si>
    <t xml:space="preserve">May need some help for resources </t>
  </si>
  <si>
    <t xml:space="preserve">EFC signed </t>
  </si>
  <si>
    <t>Kutch Desalination</t>
  </si>
  <si>
    <t>GIDB</t>
  </si>
  <si>
    <t>Government</t>
  </si>
  <si>
    <t>Water Source</t>
  </si>
  <si>
    <t>Mandar Pimputkar</t>
  </si>
  <si>
    <t>AECOM</t>
  </si>
  <si>
    <t>Tender submitted</t>
  </si>
  <si>
    <t>Need some CVs for specialist positions</t>
  </si>
  <si>
    <t xml:space="preserve">Uday, Mustafa, Yogesh </t>
  </si>
  <si>
    <t>Opening on 15/April</t>
  </si>
  <si>
    <t>Mahagenco - Water reuse for 6 plants</t>
  </si>
  <si>
    <t>Mahagenco</t>
  </si>
  <si>
    <t>Pre-bid Support for Bhandup and Ghatkopar WWTFs</t>
  </si>
  <si>
    <t xml:space="preserve">Toyo Engineering </t>
  </si>
  <si>
    <t>D</t>
  </si>
  <si>
    <t>Sachin Malekar</t>
  </si>
  <si>
    <t>VV and MSP had a meeting with Sachin Malekar and now needs MOU to be signed</t>
  </si>
  <si>
    <t>MOU has been signed. Need to work with their marketing team</t>
  </si>
  <si>
    <t xml:space="preserve">Discussions with Sachin Malekar regarding Toyo Capabilities and reasons for their non-qualification in last round of Pre-Quals </t>
  </si>
  <si>
    <t>MCGM Colaba WWTF Tender</t>
  </si>
  <si>
    <t>Milind Mane</t>
  </si>
  <si>
    <t>Tender was prepared along with Mr. Taware and submitted for internal approaval</t>
  </si>
  <si>
    <t>We will get only one of the three and hence need to choose carefully</t>
  </si>
  <si>
    <t>MCGM Bhandup WWTF Tender</t>
  </si>
  <si>
    <t>MCGM Ghatkopar WWTF Tender</t>
  </si>
  <si>
    <t>PMC of PST 2 and Microtunneling</t>
  </si>
  <si>
    <t>PMC for PST 1 - Dahisar to Malad</t>
  </si>
  <si>
    <t xml:space="preserve">Description </t>
  </si>
  <si>
    <t>Project Awarded</t>
  </si>
  <si>
    <t>Proposal Submitted</t>
  </si>
  <si>
    <t>C</t>
  </si>
  <si>
    <t xml:space="preserve">Project Declared </t>
  </si>
  <si>
    <t>Forthcoming / In Pipeline</t>
  </si>
  <si>
    <t>Mumbai</t>
  </si>
  <si>
    <t>Agreement signed</t>
  </si>
  <si>
    <t>Smaller local consultants like Primove/ Unity Consultants. 12 agencies have been awarded 12 districts at SOR rates</t>
  </si>
  <si>
    <t>STC/ Mott/ Black&amp;Veatch</t>
  </si>
  <si>
    <t>One project engineer is being recruited- Mr Prashant Sakale</t>
  </si>
  <si>
    <t>Essential to commence survey work immediately</t>
  </si>
  <si>
    <t>Sr. Engineer Modeller and Draftsman</t>
  </si>
  <si>
    <t xml:space="preserve">Ex Eng (JS-II) Mr. B.S. Sengar     and Dy Secretary and Project Director Mr. Ajay Savrikar </t>
  </si>
  <si>
    <t>Govt of Maharashtra and World Bank</t>
  </si>
  <si>
    <t>Status</t>
  </si>
  <si>
    <t>Tender has been submitted and NJSEI is T1 and L1</t>
  </si>
  <si>
    <t xml:space="preserve">Financial opened. Tender committee on 18th April </t>
  </si>
  <si>
    <t>Direct award by VMC</t>
  </si>
  <si>
    <t xml:space="preserve">Ch.E. Civil (Generation 1) Mahagenco Dharavi </t>
  </si>
  <si>
    <t>Uday Sontakke, KP Naik and Keshav Kamath</t>
  </si>
  <si>
    <t>Opening?</t>
  </si>
  <si>
    <t>Keen on taking one of PST1 or PST2</t>
  </si>
  <si>
    <t>Date of result</t>
  </si>
  <si>
    <t>Opportunity and Proposal Tracking Sheet</t>
  </si>
  <si>
    <t xml:space="preserve">Month </t>
  </si>
  <si>
    <t>Year</t>
  </si>
  <si>
    <t>Tracked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</si>
</sst>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.00_);_(* \(#,##0.00\);_(* &quot;-&quot;??_);_(@_)"/>
    <numFmt numFmtId="165" formatCode="[$₹-4009]\ #,##0"/>
    <numFmt numFmtId="166" formatCode="[$-409]d\-mmm\-yy;@"/>
    <numFmt numFmtId="167" formatCode="[$-409]mmmm\ d\,\ yyyy;@"/>
    <numFmt numFmtId="168" formatCode="_(* #,##0_);_(* \(#,##0\);_(* &quot;-&quot;??_);_(@_)"/>
    <numFmt numFmtId="169" formatCode="_ [$₹-4009]\ * #,##0_ ;_ [$₹-4009]\ * \-#,##0_ ;_ [$₹-4009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name val="Arial"/>
      <family val="2"/>
    </font>
    <font>
      <b/>
      <i/>
      <sz val="20"/>
      <name val="Arial"/>
      <family val="2"/>
    </font>
    <font>
      <b/>
      <i/>
      <sz val="14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165" fontId="2" fillId="0" borderId="0" xfId="0" applyNumberFormat="1" applyFont="1" applyAlignment="1">
      <alignment horizontal="center" vertical="top" wrapText="1"/>
    </xf>
    <xf numFmtId="166" fontId="2" fillId="0" borderId="0" xfId="0" applyNumberFormat="1" applyFont="1" applyAlignment="1">
      <alignment wrapText="1"/>
    </xf>
    <xf numFmtId="167" fontId="2" fillId="0" borderId="0" xfId="0" applyNumberFormat="1" applyFont="1" applyAlignment="1">
      <alignment vertical="top" wrapText="1"/>
    </xf>
    <xf numFmtId="168" fontId="2" fillId="0" borderId="0" xfId="1" applyNumberFormat="1" applyFont="1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5" borderId="0" xfId="0" applyFont="1" applyFill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166" fontId="2" fillId="0" borderId="0" xfId="0" applyNumberFormat="1" applyFont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49" fontId="2" fillId="3" borderId="2" xfId="0" applyNumberFormat="1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3" borderId="2" xfId="0" applyNumberFormat="1" applyFont="1" applyFill="1" applyBorder="1" applyAlignment="1">
      <alignment horizontal="center" vertical="top" wrapText="1"/>
    </xf>
    <xf numFmtId="165" fontId="2" fillId="3" borderId="2" xfId="0" applyNumberFormat="1" applyFont="1" applyFill="1" applyBorder="1" applyAlignment="1">
      <alignment horizontal="center" vertical="top" wrapText="1"/>
    </xf>
    <xf numFmtId="166" fontId="2" fillId="3" borderId="2" xfId="0" applyNumberFormat="1" applyFont="1" applyFill="1" applyBorder="1" applyAlignment="1">
      <alignment vertical="top" wrapText="1"/>
    </xf>
    <xf numFmtId="10" fontId="2" fillId="3" borderId="2" xfId="0" applyNumberFormat="1" applyFont="1" applyFill="1" applyBorder="1" applyAlignment="1">
      <alignment vertical="top" wrapText="1"/>
    </xf>
    <xf numFmtId="17" fontId="2" fillId="3" borderId="2" xfId="0" applyNumberFormat="1" applyFont="1" applyFill="1" applyBorder="1" applyAlignment="1">
      <alignment vertical="top" wrapText="1"/>
    </xf>
    <xf numFmtId="167" fontId="2" fillId="3" borderId="2" xfId="0" applyNumberFormat="1" applyFont="1" applyFill="1" applyBorder="1" applyAlignment="1">
      <alignment vertical="top" wrapText="1"/>
    </xf>
    <xf numFmtId="169" fontId="2" fillId="3" borderId="2" xfId="0" applyNumberFormat="1" applyFont="1" applyFill="1" applyBorder="1" applyAlignment="1">
      <alignment vertical="top" wrapText="1"/>
    </xf>
    <xf numFmtId="168" fontId="2" fillId="3" borderId="2" xfId="1" applyNumberFormat="1" applyFont="1" applyFill="1" applyBorder="1" applyAlignment="1">
      <alignment horizontal="center" vertical="top" wrapText="1"/>
    </xf>
    <xf numFmtId="0" fontId="2" fillId="3" borderId="2" xfId="0" applyNumberFormat="1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9" fontId="2" fillId="3" borderId="2" xfId="2" applyFont="1" applyFill="1" applyBorder="1" applyAlignment="1">
      <alignment horizontal="center" vertical="top" wrapText="1"/>
    </xf>
    <xf numFmtId="14" fontId="2" fillId="5" borderId="2" xfId="0" applyNumberFormat="1" applyFont="1" applyFill="1" applyBorder="1" applyAlignment="1">
      <alignment vertical="top" wrapText="1"/>
    </xf>
    <xf numFmtId="17" fontId="2" fillId="5" borderId="2" xfId="0" applyNumberFormat="1" applyFont="1" applyFill="1" applyBorder="1" applyAlignment="1">
      <alignment vertical="top" wrapText="1"/>
    </xf>
    <xf numFmtId="49" fontId="2" fillId="3" borderId="3" xfId="0" applyNumberFormat="1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49" fontId="2" fillId="3" borderId="3" xfId="0" applyNumberFormat="1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3" xfId="0" applyNumberFormat="1" applyFont="1" applyFill="1" applyBorder="1" applyAlignment="1">
      <alignment horizontal="center" vertical="top" wrapText="1"/>
    </xf>
    <xf numFmtId="165" fontId="2" fillId="3" borderId="3" xfId="0" applyNumberFormat="1" applyFont="1" applyFill="1" applyBorder="1" applyAlignment="1">
      <alignment horizontal="center" vertical="top" wrapText="1"/>
    </xf>
    <xf numFmtId="166" fontId="2" fillId="3" borderId="3" xfId="0" applyNumberFormat="1" applyFont="1" applyFill="1" applyBorder="1" applyAlignment="1">
      <alignment vertical="top" wrapText="1"/>
    </xf>
    <xf numFmtId="10" fontId="2" fillId="3" borderId="3" xfId="0" applyNumberFormat="1" applyFont="1" applyFill="1" applyBorder="1" applyAlignment="1">
      <alignment vertical="top" wrapText="1"/>
    </xf>
    <xf numFmtId="167" fontId="2" fillId="3" borderId="3" xfId="0" applyNumberFormat="1" applyFont="1" applyFill="1" applyBorder="1" applyAlignment="1">
      <alignment vertical="top" wrapText="1"/>
    </xf>
    <xf numFmtId="169" fontId="2" fillId="3" borderId="3" xfId="0" applyNumberFormat="1" applyFont="1" applyFill="1" applyBorder="1" applyAlignment="1">
      <alignment vertical="top" wrapText="1"/>
    </xf>
    <xf numFmtId="168" fontId="2" fillId="4" borderId="3" xfId="0" applyNumberFormat="1" applyFont="1" applyFill="1" applyBorder="1" applyAlignment="1">
      <alignment vertical="top" wrapText="1"/>
    </xf>
    <xf numFmtId="168" fontId="2" fillId="3" borderId="3" xfId="0" applyNumberFormat="1" applyFont="1" applyFill="1" applyBorder="1" applyAlignment="1">
      <alignment horizontal="center" vertical="top" wrapText="1"/>
    </xf>
    <xf numFmtId="0" fontId="2" fillId="3" borderId="3" xfId="0" applyNumberFormat="1" applyFont="1" applyFill="1" applyBorder="1" applyAlignment="1">
      <alignment vertical="top" wrapText="1"/>
    </xf>
    <xf numFmtId="0" fontId="2" fillId="5" borderId="3" xfId="0" applyFont="1" applyFill="1" applyBorder="1" applyAlignment="1">
      <alignment vertical="top" wrapText="1"/>
    </xf>
    <xf numFmtId="0" fontId="2" fillId="0" borderId="0" xfId="0" applyFont="1"/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4" fillId="0" borderId="4" xfId="3" applyFont="1" applyBorder="1" applyAlignment="1" applyProtection="1">
      <alignment vertical="center"/>
    </xf>
    <xf numFmtId="0" fontId="4" fillId="0" borderId="0" xfId="3" applyFont="1" applyBorder="1" applyAlignment="1" applyProtection="1">
      <alignment horizontal="center" vertical="center"/>
    </xf>
    <xf numFmtId="0" fontId="6" fillId="0" borderId="0" xfId="3" applyFont="1" applyBorder="1" applyAlignment="1" applyProtection="1">
      <alignment horizontal="right" vertical="center" wrapText="1"/>
    </xf>
    <xf numFmtId="168" fontId="4" fillId="0" borderId="0" xfId="1" applyNumberFormat="1" applyFont="1" applyBorder="1" applyAlignment="1" applyProtection="1">
      <alignment vertical="center"/>
    </xf>
    <xf numFmtId="0" fontId="4" fillId="0" borderId="5" xfId="3" applyFont="1" applyBorder="1" applyAlignment="1" applyProtection="1">
      <alignment vertical="center"/>
    </xf>
    <xf numFmtId="168" fontId="6" fillId="0" borderId="0" xfId="1" applyNumberFormat="1" applyFont="1" applyBorder="1" applyAlignment="1" applyProtection="1">
      <alignment horizontal="right" vertical="center" wrapText="1"/>
    </xf>
    <xf numFmtId="0" fontId="7" fillId="0" borderId="4" xfId="3" applyFont="1" applyBorder="1" applyAlignment="1" applyProtection="1">
      <alignment vertical="center"/>
    </xf>
    <xf numFmtId="0" fontId="7" fillId="0" borderId="0" xfId="3" applyFont="1" applyBorder="1" applyAlignment="1" applyProtection="1">
      <alignment horizontal="center" vertical="center"/>
    </xf>
    <xf numFmtId="0" fontId="5" fillId="0" borderId="4" xfId="3" applyFont="1" applyBorder="1" applyAlignment="1" applyProtection="1">
      <alignment horizontal="center" vertical="center" wrapText="1"/>
    </xf>
    <xf numFmtId="0" fontId="5" fillId="0" borderId="0" xfId="3" applyFont="1" applyBorder="1" applyAlignment="1" applyProtection="1">
      <alignment horizontal="center" vertical="center" wrapText="1"/>
    </xf>
  </cellXfs>
  <cellStyles count="4">
    <cellStyle name="Comma" xfId="1" builtinId="3"/>
    <cellStyle name="Normal" xfId="0" builtinId="0"/>
    <cellStyle name="Normal 4" xfId="3"/>
    <cellStyle name="Percent" xfId="2" builtinId="5"/>
  </cellStyles>
  <dxfs count="74"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rgb="FFFFC00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fill>
        <patternFill patternType="solid">
          <fgColor indexed="64"/>
          <bgColor rgb="FFFFC00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rgb="FFFFC00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fill>
        <patternFill patternType="solid">
          <fgColor indexed="64"/>
          <bgColor rgb="FFFFC00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rgb="FFFFC00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fill>
        <patternFill patternType="solid">
          <fgColor indexed="64"/>
          <bgColor rgb="FFFFC00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rgb="FFFFC00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fill>
        <patternFill patternType="solid">
          <fgColor indexed="64"/>
          <bgColor rgb="FFFFC00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8" formatCode="_(* #,##0_);_(* \(#,##0\);_(* &quot;-&quot;??_);_(@_)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68" formatCode="_(* #,##0_);_(* \(#,##0\);_(* &quot;-&quot;??_);_(@_)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8" formatCode="_(* #,##0_);_(* \(#,##0\);_(* &quot;-&quot;??_);_(@_)"/>
      <fill>
        <patternFill patternType="solid">
          <fgColor indexed="64"/>
          <bgColor theme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69" formatCode="_ [$₹-4009]\ * #,##0_ ;_ [$₹-4009]\ * \-#,##0_ ;_ [$₹-4009]\ * &quot;-&quot;??_ ;_ @_ 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8" formatCode="_(* #,##0_);_(* \(#,##0\);_(* &quot;-&quot;??_);_(@_)"/>
      <fill>
        <patternFill patternType="solid">
          <fgColor indexed="64"/>
          <bgColor theme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69" formatCode="_ [$₹-4009]\ * #,##0_ ;_ [$₹-4009]\ * \-#,##0_ ;_ [$₹-4009]\ * &quot;-&quot;??_ ;_ @_ 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9" formatCode="_ [$₹-4009]\ * #,##0_ ;_ [$₹-4009]\ * \-#,##0_ ;_ [$₹-4009]\ * &quot;-&quot;??_ ;_ @_ 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69" formatCode="_ [$₹-4009]\ * #,##0_ ;_ [$₹-4009]\ * \-#,##0_ ;_ [$₹-4009]\ * &quot;-&quot;??_ ;_ @_ 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7" formatCode="[$-409]mmmm\ d\,\ yyyy;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67" formatCode="[$-409]mmmm\ d\,\ yyyy;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6" formatCode="[$-409]d\-mmm\-yy;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66" formatCode="[$-409]d\-mmm\-yy;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6" formatCode="[$-409]d\-mmm\-yy;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66" formatCode="[$-409]d\-mmm\-yy;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[$₹-4009]\ #,##0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65" formatCode="[$₹-4009]\ #,##0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[$₹-4009]\ #,##0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65" formatCode="[$₹-4009]\ #,##0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165" formatCode="[$₹-4009]\ #,##0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165" formatCode="[$₹-4009]\ #,##0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  <numFmt numFmtId="30" formatCode="@"/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6"/>
        <name val="Calibri"/>
        <scheme val="minor"/>
      </font>
    </dxf>
    <dxf>
      <font>
        <strike val="0"/>
        <outline val="0"/>
        <shadow val="0"/>
        <u val="none"/>
        <vertAlign val="baseline"/>
        <sz val="16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name val="Calibri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5117B6F-0454-483A-8270-87219FD12CCD}" type="doc">
      <dgm:prSet loTypeId="urn:microsoft.com/office/officeart/2005/8/layout/hProcess9" loCatId="process" qsTypeId="urn:microsoft.com/office/officeart/2005/8/quickstyle/simple1" qsCatId="simple" csTypeId="urn:microsoft.com/office/officeart/2005/8/colors/colorful1" csCatId="colorful" phldr="1"/>
      <dgm:spPr/>
    </dgm:pt>
    <dgm:pt modelId="{C16222AF-55AD-4005-8D14-8A5DE590287D}">
      <dgm:prSet phldrT="[Text]"/>
      <dgm:spPr/>
      <dgm:t>
        <a:bodyPr/>
        <a:lstStyle/>
        <a:p>
          <a:r>
            <a:rPr lang="en-US"/>
            <a:t>Prepared by </a:t>
          </a:r>
        </a:p>
        <a:p>
          <a:r>
            <a:rPr lang="en-US"/>
            <a:t>Regional BD</a:t>
          </a:r>
        </a:p>
      </dgm:t>
    </dgm:pt>
    <dgm:pt modelId="{B684A491-144A-4139-B7F6-7A405661056B}" type="parTrans" cxnId="{21D2151C-7151-4347-A806-78D409A6D5EA}">
      <dgm:prSet/>
      <dgm:spPr/>
      <dgm:t>
        <a:bodyPr/>
        <a:lstStyle/>
        <a:p>
          <a:endParaRPr lang="en-US"/>
        </a:p>
      </dgm:t>
    </dgm:pt>
    <dgm:pt modelId="{416B6883-ADA5-43AB-8586-F15AB0CD7181}" type="sibTrans" cxnId="{21D2151C-7151-4347-A806-78D409A6D5EA}">
      <dgm:prSet/>
      <dgm:spPr/>
      <dgm:t>
        <a:bodyPr/>
        <a:lstStyle/>
        <a:p>
          <a:endParaRPr lang="en-US"/>
        </a:p>
      </dgm:t>
    </dgm:pt>
    <dgm:pt modelId="{D8981121-2EC8-4738-BC25-D7E6E9B84EBA}">
      <dgm:prSet phldrT="[Text]"/>
      <dgm:spPr/>
      <dgm:t>
        <a:bodyPr/>
        <a:lstStyle/>
        <a:p>
          <a:r>
            <a:rPr lang="en-US"/>
            <a:t>Reviewed by Vice President (BD)</a:t>
          </a:r>
        </a:p>
      </dgm:t>
    </dgm:pt>
    <dgm:pt modelId="{69399A41-C237-4AAE-A45D-D210ED7C8CFE}" type="parTrans" cxnId="{DC527DBD-0BC0-456F-AD18-049719F71A91}">
      <dgm:prSet/>
      <dgm:spPr/>
      <dgm:t>
        <a:bodyPr/>
        <a:lstStyle/>
        <a:p>
          <a:endParaRPr lang="en-US"/>
        </a:p>
      </dgm:t>
    </dgm:pt>
    <dgm:pt modelId="{C0B7F560-7A57-4C7E-84E6-E41C954783B3}" type="sibTrans" cxnId="{DC527DBD-0BC0-456F-AD18-049719F71A91}">
      <dgm:prSet/>
      <dgm:spPr/>
      <dgm:t>
        <a:bodyPr/>
        <a:lstStyle/>
        <a:p>
          <a:endParaRPr lang="en-US"/>
        </a:p>
      </dgm:t>
    </dgm:pt>
    <dgm:pt modelId="{D32EDEE1-C5E8-42CD-8D80-12EF2D45B0E7}">
      <dgm:prSet phldrT="[Text]"/>
      <dgm:spPr/>
      <dgm:t>
        <a:bodyPr/>
        <a:lstStyle/>
        <a:p>
          <a:r>
            <a:rPr lang="en-US"/>
            <a:t>Approved by Regional Manager</a:t>
          </a:r>
        </a:p>
      </dgm:t>
    </dgm:pt>
    <dgm:pt modelId="{B5BD397B-8529-4E16-9E69-859827CFDD90}" type="parTrans" cxnId="{9F8D8027-E002-4710-8C87-822F48BA8E77}">
      <dgm:prSet/>
      <dgm:spPr/>
      <dgm:t>
        <a:bodyPr/>
        <a:lstStyle/>
        <a:p>
          <a:endParaRPr lang="en-US"/>
        </a:p>
      </dgm:t>
    </dgm:pt>
    <dgm:pt modelId="{5D521665-C70C-4A0B-94A3-F762A27657EA}" type="sibTrans" cxnId="{9F8D8027-E002-4710-8C87-822F48BA8E77}">
      <dgm:prSet/>
      <dgm:spPr/>
      <dgm:t>
        <a:bodyPr/>
        <a:lstStyle/>
        <a:p>
          <a:endParaRPr lang="en-US"/>
        </a:p>
      </dgm:t>
    </dgm:pt>
    <dgm:pt modelId="{0E49CC58-6C11-4916-B574-8A98066F32DC}">
      <dgm:prSet/>
      <dgm:spPr/>
      <dgm:t>
        <a:bodyPr/>
        <a:lstStyle/>
        <a:p>
          <a:r>
            <a:rPr lang="en-US"/>
            <a:t>For Information Board of Directors</a:t>
          </a:r>
        </a:p>
      </dgm:t>
    </dgm:pt>
    <dgm:pt modelId="{BBC3A73D-BBBB-4F40-89C2-BADAA66C3598}" type="parTrans" cxnId="{86F1836A-4EFA-4300-A8E7-8EBB2F92B880}">
      <dgm:prSet/>
      <dgm:spPr/>
      <dgm:t>
        <a:bodyPr/>
        <a:lstStyle/>
        <a:p>
          <a:endParaRPr lang="en-US"/>
        </a:p>
      </dgm:t>
    </dgm:pt>
    <dgm:pt modelId="{07FD3749-B5BC-4EAE-8044-48DC2BA46937}" type="sibTrans" cxnId="{86F1836A-4EFA-4300-A8E7-8EBB2F92B880}">
      <dgm:prSet/>
      <dgm:spPr/>
      <dgm:t>
        <a:bodyPr/>
        <a:lstStyle/>
        <a:p>
          <a:endParaRPr lang="en-US"/>
        </a:p>
      </dgm:t>
    </dgm:pt>
    <dgm:pt modelId="{D0124B4F-6925-499B-8669-E8A0E960FD76}" type="pres">
      <dgm:prSet presAssocID="{45117B6F-0454-483A-8270-87219FD12CCD}" presName="CompostProcess" presStyleCnt="0">
        <dgm:presLayoutVars>
          <dgm:dir/>
          <dgm:resizeHandles val="exact"/>
        </dgm:presLayoutVars>
      </dgm:prSet>
      <dgm:spPr/>
    </dgm:pt>
    <dgm:pt modelId="{3C2B48F8-F2E3-4872-BD61-829884CBC46F}" type="pres">
      <dgm:prSet presAssocID="{45117B6F-0454-483A-8270-87219FD12CCD}" presName="arrow" presStyleLbl="bgShp" presStyleIdx="0" presStyleCnt="1"/>
      <dgm:spPr/>
    </dgm:pt>
    <dgm:pt modelId="{51B9C38D-7CE0-4853-BFB2-B6FAFF3EC1E6}" type="pres">
      <dgm:prSet presAssocID="{45117B6F-0454-483A-8270-87219FD12CCD}" presName="linearProcess" presStyleCnt="0"/>
      <dgm:spPr/>
    </dgm:pt>
    <dgm:pt modelId="{34DE89F3-2A32-44BE-88BE-155A93CC7EAA}" type="pres">
      <dgm:prSet presAssocID="{C16222AF-55AD-4005-8D14-8A5DE590287D}" presName="textNode" presStyleLbl="node1" presStyleIdx="0" presStyleCnt="4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416F7129-1ACB-4D1A-A021-E9F187439DE0}" type="pres">
      <dgm:prSet presAssocID="{416B6883-ADA5-43AB-8586-F15AB0CD7181}" presName="sibTrans" presStyleCnt="0"/>
      <dgm:spPr/>
    </dgm:pt>
    <dgm:pt modelId="{456D1756-6610-416D-B45A-F7B4BCDCE86F}" type="pres">
      <dgm:prSet presAssocID="{D8981121-2EC8-4738-BC25-D7E6E9B84EBA}" presName="textNode" presStyleLbl="node1" presStyleIdx="1" presStyleCnt="4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AFA158F1-9662-47B8-81C5-FD2EDDD65C00}" type="pres">
      <dgm:prSet presAssocID="{C0B7F560-7A57-4C7E-84E6-E41C954783B3}" presName="sibTrans" presStyleCnt="0"/>
      <dgm:spPr/>
    </dgm:pt>
    <dgm:pt modelId="{362869F1-4227-47ED-87BD-D120ECA47682}" type="pres">
      <dgm:prSet presAssocID="{D32EDEE1-C5E8-42CD-8D80-12EF2D45B0E7}" presName="textNode" presStyleLbl="node1" presStyleIdx="2" presStyleCnt="4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E17DC589-950F-4717-BE45-497667824476}" type="pres">
      <dgm:prSet presAssocID="{5D521665-C70C-4A0B-94A3-F762A27657EA}" presName="sibTrans" presStyleCnt="0"/>
      <dgm:spPr/>
    </dgm:pt>
    <dgm:pt modelId="{B613D4B1-9170-4359-B729-4DE805B607DC}" type="pres">
      <dgm:prSet presAssocID="{0E49CC58-6C11-4916-B574-8A98066F32DC}" presName="textNode" presStyleLbl="node1" presStyleIdx="3" presStyleCnt="4">
        <dgm:presLayoutVars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CF608DA8-7AE2-4EC4-A106-CCF5DACCBA89}" type="presOf" srcId="{D8981121-2EC8-4738-BC25-D7E6E9B84EBA}" destId="{456D1756-6610-416D-B45A-F7B4BCDCE86F}" srcOrd="0" destOrd="0" presId="urn:microsoft.com/office/officeart/2005/8/layout/hProcess9"/>
    <dgm:cxn modelId="{70AF69EB-4068-434B-88C4-B1888F3A0397}" type="presOf" srcId="{C16222AF-55AD-4005-8D14-8A5DE590287D}" destId="{34DE89F3-2A32-44BE-88BE-155A93CC7EAA}" srcOrd="0" destOrd="0" presId="urn:microsoft.com/office/officeart/2005/8/layout/hProcess9"/>
    <dgm:cxn modelId="{5C0E6623-CF99-4651-80FE-2938347ECC2C}" type="presOf" srcId="{45117B6F-0454-483A-8270-87219FD12CCD}" destId="{D0124B4F-6925-499B-8669-E8A0E960FD76}" srcOrd="0" destOrd="0" presId="urn:microsoft.com/office/officeart/2005/8/layout/hProcess9"/>
    <dgm:cxn modelId="{21D2151C-7151-4347-A806-78D409A6D5EA}" srcId="{45117B6F-0454-483A-8270-87219FD12CCD}" destId="{C16222AF-55AD-4005-8D14-8A5DE590287D}" srcOrd="0" destOrd="0" parTransId="{B684A491-144A-4139-B7F6-7A405661056B}" sibTransId="{416B6883-ADA5-43AB-8586-F15AB0CD7181}"/>
    <dgm:cxn modelId="{86F1836A-4EFA-4300-A8E7-8EBB2F92B880}" srcId="{45117B6F-0454-483A-8270-87219FD12CCD}" destId="{0E49CC58-6C11-4916-B574-8A98066F32DC}" srcOrd="3" destOrd="0" parTransId="{BBC3A73D-BBBB-4F40-89C2-BADAA66C3598}" sibTransId="{07FD3749-B5BC-4EAE-8044-48DC2BA46937}"/>
    <dgm:cxn modelId="{DC527DBD-0BC0-456F-AD18-049719F71A91}" srcId="{45117B6F-0454-483A-8270-87219FD12CCD}" destId="{D8981121-2EC8-4738-BC25-D7E6E9B84EBA}" srcOrd="1" destOrd="0" parTransId="{69399A41-C237-4AAE-A45D-D210ED7C8CFE}" sibTransId="{C0B7F560-7A57-4C7E-84E6-E41C954783B3}"/>
    <dgm:cxn modelId="{9F8D8027-E002-4710-8C87-822F48BA8E77}" srcId="{45117B6F-0454-483A-8270-87219FD12CCD}" destId="{D32EDEE1-C5E8-42CD-8D80-12EF2D45B0E7}" srcOrd="2" destOrd="0" parTransId="{B5BD397B-8529-4E16-9E69-859827CFDD90}" sibTransId="{5D521665-C70C-4A0B-94A3-F762A27657EA}"/>
    <dgm:cxn modelId="{25B9229C-4C28-41F2-8C65-C93AF3CD5301}" type="presOf" srcId="{D32EDEE1-C5E8-42CD-8D80-12EF2D45B0E7}" destId="{362869F1-4227-47ED-87BD-D120ECA47682}" srcOrd="0" destOrd="0" presId="urn:microsoft.com/office/officeart/2005/8/layout/hProcess9"/>
    <dgm:cxn modelId="{14E4E39E-F82F-4237-83DF-007BBBA69838}" type="presOf" srcId="{0E49CC58-6C11-4916-B574-8A98066F32DC}" destId="{B613D4B1-9170-4359-B729-4DE805B607DC}" srcOrd="0" destOrd="0" presId="urn:microsoft.com/office/officeart/2005/8/layout/hProcess9"/>
    <dgm:cxn modelId="{52BC8E4A-C426-44C2-95B4-264FDF2E51BD}" type="presParOf" srcId="{D0124B4F-6925-499B-8669-E8A0E960FD76}" destId="{3C2B48F8-F2E3-4872-BD61-829884CBC46F}" srcOrd="0" destOrd="0" presId="urn:microsoft.com/office/officeart/2005/8/layout/hProcess9"/>
    <dgm:cxn modelId="{AB6243E5-5AE2-4510-B92B-BCD9A86B33CE}" type="presParOf" srcId="{D0124B4F-6925-499B-8669-E8A0E960FD76}" destId="{51B9C38D-7CE0-4853-BFB2-B6FAFF3EC1E6}" srcOrd="1" destOrd="0" presId="urn:microsoft.com/office/officeart/2005/8/layout/hProcess9"/>
    <dgm:cxn modelId="{9367D939-2D27-4C1E-888C-FDFA400E77B4}" type="presParOf" srcId="{51B9C38D-7CE0-4853-BFB2-B6FAFF3EC1E6}" destId="{34DE89F3-2A32-44BE-88BE-155A93CC7EAA}" srcOrd="0" destOrd="0" presId="urn:microsoft.com/office/officeart/2005/8/layout/hProcess9"/>
    <dgm:cxn modelId="{BB3F67A9-33A6-4288-919B-A1B201412F6B}" type="presParOf" srcId="{51B9C38D-7CE0-4853-BFB2-B6FAFF3EC1E6}" destId="{416F7129-1ACB-4D1A-A021-E9F187439DE0}" srcOrd="1" destOrd="0" presId="urn:microsoft.com/office/officeart/2005/8/layout/hProcess9"/>
    <dgm:cxn modelId="{68DC0A30-2E95-4A8C-80F0-6D61FA19CD93}" type="presParOf" srcId="{51B9C38D-7CE0-4853-BFB2-B6FAFF3EC1E6}" destId="{456D1756-6610-416D-B45A-F7B4BCDCE86F}" srcOrd="2" destOrd="0" presId="urn:microsoft.com/office/officeart/2005/8/layout/hProcess9"/>
    <dgm:cxn modelId="{3BB932C6-BC9C-413C-BE4D-0C7F7C35FCB5}" type="presParOf" srcId="{51B9C38D-7CE0-4853-BFB2-B6FAFF3EC1E6}" destId="{AFA158F1-9662-47B8-81C5-FD2EDDD65C00}" srcOrd="3" destOrd="0" presId="urn:microsoft.com/office/officeart/2005/8/layout/hProcess9"/>
    <dgm:cxn modelId="{A3275D69-5691-4DBF-B3B3-1EE94D222DFC}" type="presParOf" srcId="{51B9C38D-7CE0-4853-BFB2-B6FAFF3EC1E6}" destId="{362869F1-4227-47ED-87BD-D120ECA47682}" srcOrd="4" destOrd="0" presId="urn:microsoft.com/office/officeart/2005/8/layout/hProcess9"/>
    <dgm:cxn modelId="{BEF50D73-A251-404C-BE1E-D566596BC9A8}" type="presParOf" srcId="{51B9C38D-7CE0-4853-BFB2-B6FAFF3EC1E6}" destId="{E17DC589-950F-4717-BE45-497667824476}" srcOrd="5" destOrd="0" presId="urn:microsoft.com/office/officeart/2005/8/layout/hProcess9"/>
    <dgm:cxn modelId="{C5861908-C706-486A-81C4-E84F367D12C2}" type="presParOf" srcId="{51B9C38D-7CE0-4853-BFB2-B6FAFF3EC1E6}" destId="{B613D4B1-9170-4359-B729-4DE805B607DC}" srcOrd="6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1CAA67D7-5516-4C7C-95AF-5C2350B5D575}" type="doc">
      <dgm:prSet loTypeId="urn:microsoft.com/office/officeart/2005/8/layout/matrix3" loCatId="matrix" qsTypeId="urn:microsoft.com/office/officeart/2005/8/quickstyle/simple3" qsCatId="simple" csTypeId="urn:microsoft.com/office/officeart/2005/8/colors/colorful5" csCatId="colorful" phldr="1"/>
      <dgm:spPr/>
      <dgm:t>
        <a:bodyPr/>
        <a:lstStyle/>
        <a:p>
          <a:endParaRPr lang="en-US"/>
        </a:p>
      </dgm:t>
    </dgm:pt>
    <dgm:pt modelId="{6E13860F-2A93-4AE7-991F-260BBB78101A}">
      <dgm:prSet phldrT="[Text]"/>
      <dgm:spPr/>
      <dgm:t>
        <a:bodyPr/>
        <a:lstStyle/>
        <a:p>
          <a:r>
            <a:rPr lang="en-US"/>
            <a:t>NJSEI</a:t>
          </a:r>
        </a:p>
      </dgm:t>
    </dgm:pt>
    <dgm:pt modelId="{AC95D02D-8204-4790-A659-E0867E52CADB}" type="parTrans" cxnId="{8893189D-B4BF-43A6-8B66-57E9C057D4F7}">
      <dgm:prSet/>
      <dgm:spPr/>
      <dgm:t>
        <a:bodyPr/>
        <a:lstStyle/>
        <a:p>
          <a:endParaRPr lang="en-US"/>
        </a:p>
      </dgm:t>
    </dgm:pt>
    <dgm:pt modelId="{C8C5C2E3-71F1-4DDA-95CA-67844634AB3A}" type="sibTrans" cxnId="{8893189D-B4BF-43A6-8B66-57E9C057D4F7}">
      <dgm:prSet/>
      <dgm:spPr/>
      <dgm:t>
        <a:bodyPr/>
        <a:lstStyle/>
        <a:p>
          <a:endParaRPr lang="en-US"/>
        </a:p>
      </dgm:t>
    </dgm:pt>
    <dgm:pt modelId="{4B24D2D4-EDD2-4169-BC54-365CF87D8518}">
      <dgm:prSet phldrT="[Text]"/>
      <dgm:spPr/>
      <dgm:t>
        <a:bodyPr/>
        <a:lstStyle/>
        <a:p>
          <a:r>
            <a:rPr lang="en-US"/>
            <a:t>QMS</a:t>
          </a:r>
        </a:p>
      </dgm:t>
    </dgm:pt>
    <dgm:pt modelId="{CC66BB30-61FF-4C75-93CF-3CC49B947362}" type="parTrans" cxnId="{DB104596-2287-4CB0-9378-499509842619}">
      <dgm:prSet/>
      <dgm:spPr/>
      <dgm:t>
        <a:bodyPr/>
        <a:lstStyle/>
        <a:p>
          <a:endParaRPr lang="en-US"/>
        </a:p>
      </dgm:t>
    </dgm:pt>
    <dgm:pt modelId="{05BCFC77-1935-4C09-B33F-4CE81F32C64A}" type="sibTrans" cxnId="{DB104596-2287-4CB0-9378-499509842619}">
      <dgm:prSet/>
      <dgm:spPr/>
      <dgm:t>
        <a:bodyPr/>
        <a:lstStyle/>
        <a:p>
          <a:endParaRPr lang="en-US"/>
        </a:p>
      </dgm:t>
    </dgm:pt>
    <dgm:pt modelId="{B0BF3C58-3C7A-4454-B1AD-94CF8355F55A}">
      <dgm:prSet phldrT="[Text]"/>
      <dgm:spPr/>
      <dgm:t>
        <a:bodyPr/>
        <a:lstStyle/>
        <a:p>
          <a:r>
            <a:rPr lang="en-US"/>
            <a:t>BD1</a:t>
          </a:r>
        </a:p>
      </dgm:t>
    </dgm:pt>
    <dgm:pt modelId="{EA800FD2-782C-41EF-A848-A58C418769BA}" type="parTrans" cxnId="{491622CB-7810-4694-A92B-EFFF59A01FAD}">
      <dgm:prSet/>
      <dgm:spPr/>
      <dgm:t>
        <a:bodyPr/>
        <a:lstStyle/>
        <a:p>
          <a:endParaRPr lang="en-US"/>
        </a:p>
      </dgm:t>
    </dgm:pt>
    <dgm:pt modelId="{8B3E8D7E-1E24-42D7-9218-1EDE33311EC6}" type="sibTrans" cxnId="{491622CB-7810-4694-A92B-EFFF59A01FAD}">
      <dgm:prSet/>
      <dgm:spPr/>
      <dgm:t>
        <a:bodyPr/>
        <a:lstStyle/>
        <a:p>
          <a:endParaRPr lang="en-US"/>
        </a:p>
      </dgm:t>
    </dgm:pt>
    <dgm:pt modelId="{6B61E0B5-74DF-4541-9FC3-C69BBB7179F9}">
      <dgm:prSet phldrT="[Text]"/>
      <dgm:spPr/>
      <dgm:t>
        <a:bodyPr/>
        <a:lstStyle/>
        <a:p>
          <a:r>
            <a:rPr lang="en-US"/>
            <a:t>12 Oct 2016 </a:t>
          </a:r>
        </a:p>
      </dgm:t>
    </dgm:pt>
    <dgm:pt modelId="{8E3324BC-6EBE-4FC3-8B2E-E3BF5EC0EEDD}" type="parTrans" cxnId="{0AA6937A-AA52-47E0-9A01-4620FBE6925B}">
      <dgm:prSet/>
      <dgm:spPr/>
      <dgm:t>
        <a:bodyPr/>
        <a:lstStyle/>
        <a:p>
          <a:endParaRPr lang="en-US"/>
        </a:p>
      </dgm:t>
    </dgm:pt>
    <dgm:pt modelId="{F545E547-6874-43B8-97B4-6119BB37AFB0}" type="sibTrans" cxnId="{0AA6937A-AA52-47E0-9A01-4620FBE6925B}">
      <dgm:prSet/>
      <dgm:spPr/>
      <dgm:t>
        <a:bodyPr/>
        <a:lstStyle/>
        <a:p>
          <a:endParaRPr lang="en-US"/>
        </a:p>
      </dgm:t>
    </dgm:pt>
    <dgm:pt modelId="{CD61FA5C-7699-4561-A896-A0ABABA54C34}" type="pres">
      <dgm:prSet presAssocID="{1CAA67D7-5516-4C7C-95AF-5C2350B5D575}" presName="matrix" presStyleCnt="0">
        <dgm:presLayoutVars>
          <dgm:chMax val="1"/>
          <dgm:dir/>
          <dgm:resizeHandles val="exact"/>
        </dgm:presLayoutVars>
      </dgm:prSet>
      <dgm:spPr/>
      <dgm:t>
        <a:bodyPr/>
        <a:lstStyle/>
        <a:p>
          <a:endParaRPr lang="en-IN"/>
        </a:p>
      </dgm:t>
    </dgm:pt>
    <dgm:pt modelId="{5FB9D7B5-2CD1-417A-9F00-AC51CD884918}" type="pres">
      <dgm:prSet presAssocID="{1CAA67D7-5516-4C7C-95AF-5C2350B5D575}" presName="diamond" presStyleLbl="bgShp" presStyleIdx="0" presStyleCnt="1"/>
      <dgm:spPr/>
    </dgm:pt>
    <dgm:pt modelId="{80376115-9BAC-4F7D-97D2-E9F2A2B8BFBD}" type="pres">
      <dgm:prSet presAssocID="{1CAA67D7-5516-4C7C-95AF-5C2350B5D575}" presName="quad1" presStyleLbl="node1" presStyleIdx="0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IN"/>
        </a:p>
      </dgm:t>
    </dgm:pt>
    <dgm:pt modelId="{C4D87CAE-BA68-43DC-924F-90A9DF3F54BF}" type="pres">
      <dgm:prSet presAssocID="{1CAA67D7-5516-4C7C-95AF-5C2350B5D575}" presName="quad2" presStyleLbl="node1" presStyleIdx="1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D7806DE-AC41-4515-9833-F7B1A3879E54}" type="pres">
      <dgm:prSet presAssocID="{1CAA67D7-5516-4C7C-95AF-5C2350B5D575}" presName="quad3" presStyleLbl="node1" presStyleIdx="2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  <dgm:pt modelId="{B100A32C-8EC3-4218-A612-8FE2E5F750EC}" type="pres">
      <dgm:prSet presAssocID="{1CAA67D7-5516-4C7C-95AF-5C2350B5D575}" presName="quad4" presStyleLbl="node1" presStyleIdx="3" presStyleCnt="4">
        <dgm:presLayoutVars>
          <dgm:chMax val="0"/>
          <dgm:chPref val="0"/>
          <dgm:bulletEnabled val="1"/>
        </dgm:presLayoutVars>
      </dgm:prSet>
      <dgm:spPr/>
      <dgm:t>
        <a:bodyPr/>
        <a:lstStyle/>
        <a:p>
          <a:endParaRPr lang="en-US"/>
        </a:p>
      </dgm:t>
    </dgm:pt>
  </dgm:ptLst>
  <dgm:cxnLst>
    <dgm:cxn modelId="{DB104596-2287-4CB0-9378-499509842619}" srcId="{1CAA67D7-5516-4C7C-95AF-5C2350B5D575}" destId="{4B24D2D4-EDD2-4169-BC54-365CF87D8518}" srcOrd="1" destOrd="0" parTransId="{CC66BB30-61FF-4C75-93CF-3CC49B947362}" sibTransId="{05BCFC77-1935-4C09-B33F-4CE81F32C64A}"/>
    <dgm:cxn modelId="{491622CB-7810-4694-A92B-EFFF59A01FAD}" srcId="{1CAA67D7-5516-4C7C-95AF-5C2350B5D575}" destId="{B0BF3C58-3C7A-4454-B1AD-94CF8355F55A}" srcOrd="2" destOrd="0" parTransId="{EA800FD2-782C-41EF-A848-A58C418769BA}" sibTransId="{8B3E8D7E-1E24-42D7-9218-1EDE33311EC6}"/>
    <dgm:cxn modelId="{9EDEF6DD-1B72-4D39-865B-B5BA49F8286A}" type="presOf" srcId="{6E13860F-2A93-4AE7-991F-260BBB78101A}" destId="{80376115-9BAC-4F7D-97D2-E9F2A2B8BFBD}" srcOrd="0" destOrd="0" presId="urn:microsoft.com/office/officeart/2005/8/layout/matrix3"/>
    <dgm:cxn modelId="{E2DC1DB1-3A72-4403-BF2C-AA77F7B1A9B2}" type="presOf" srcId="{4B24D2D4-EDD2-4169-BC54-365CF87D8518}" destId="{C4D87CAE-BA68-43DC-924F-90A9DF3F54BF}" srcOrd="0" destOrd="0" presId="urn:microsoft.com/office/officeart/2005/8/layout/matrix3"/>
    <dgm:cxn modelId="{8893189D-B4BF-43A6-8B66-57E9C057D4F7}" srcId="{1CAA67D7-5516-4C7C-95AF-5C2350B5D575}" destId="{6E13860F-2A93-4AE7-991F-260BBB78101A}" srcOrd="0" destOrd="0" parTransId="{AC95D02D-8204-4790-A659-E0867E52CADB}" sibTransId="{C8C5C2E3-71F1-4DDA-95CA-67844634AB3A}"/>
    <dgm:cxn modelId="{002DA995-1AAC-4B11-8AE9-F755F2749F60}" type="presOf" srcId="{B0BF3C58-3C7A-4454-B1AD-94CF8355F55A}" destId="{BD7806DE-AC41-4515-9833-F7B1A3879E54}" srcOrd="0" destOrd="0" presId="urn:microsoft.com/office/officeart/2005/8/layout/matrix3"/>
    <dgm:cxn modelId="{0AA6937A-AA52-47E0-9A01-4620FBE6925B}" srcId="{1CAA67D7-5516-4C7C-95AF-5C2350B5D575}" destId="{6B61E0B5-74DF-4541-9FC3-C69BBB7179F9}" srcOrd="3" destOrd="0" parTransId="{8E3324BC-6EBE-4FC3-8B2E-E3BF5EC0EEDD}" sibTransId="{F545E547-6874-43B8-97B4-6119BB37AFB0}"/>
    <dgm:cxn modelId="{F299B404-43EC-41B2-985C-376718CEB935}" type="presOf" srcId="{1CAA67D7-5516-4C7C-95AF-5C2350B5D575}" destId="{CD61FA5C-7699-4561-A896-A0ABABA54C34}" srcOrd="0" destOrd="0" presId="urn:microsoft.com/office/officeart/2005/8/layout/matrix3"/>
    <dgm:cxn modelId="{CB7752BD-E922-4899-B53F-9B765D652EF1}" type="presOf" srcId="{6B61E0B5-74DF-4541-9FC3-C69BBB7179F9}" destId="{B100A32C-8EC3-4218-A612-8FE2E5F750EC}" srcOrd="0" destOrd="0" presId="urn:microsoft.com/office/officeart/2005/8/layout/matrix3"/>
    <dgm:cxn modelId="{0DA80DA7-E9DD-45DD-A0FF-3A16D72245D8}" type="presParOf" srcId="{CD61FA5C-7699-4561-A896-A0ABABA54C34}" destId="{5FB9D7B5-2CD1-417A-9F00-AC51CD884918}" srcOrd="0" destOrd="0" presId="urn:microsoft.com/office/officeart/2005/8/layout/matrix3"/>
    <dgm:cxn modelId="{BBF8C680-4D52-48DA-A6A8-EEC435678A71}" type="presParOf" srcId="{CD61FA5C-7699-4561-A896-A0ABABA54C34}" destId="{80376115-9BAC-4F7D-97D2-E9F2A2B8BFBD}" srcOrd="1" destOrd="0" presId="urn:microsoft.com/office/officeart/2005/8/layout/matrix3"/>
    <dgm:cxn modelId="{22CBA464-B763-4B51-8F73-30B662735518}" type="presParOf" srcId="{CD61FA5C-7699-4561-A896-A0ABABA54C34}" destId="{C4D87CAE-BA68-43DC-924F-90A9DF3F54BF}" srcOrd="2" destOrd="0" presId="urn:microsoft.com/office/officeart/2005/8/layout/matrix3"/>
    <dgm:cxn modelId="{7373D439-F84F-46C4-B366-D118B73B66A3}" type="presParOf" srcId="{CD61FA5C-7699-4561-A896-A0ABABA54C34}" destId="{BD7806DE-AC41-4515-9833-F7B1A3879E54}" srcOrd="3" destOrd="0" presId="urn:microsoft.com/office/officeart/2005/8/layout/matrix3"/>
    <dgm:cxn modelId="{D0A0913B-4E3D-4CCE-BC0B-36A013BACF8A}" type="presParOf" srcId="{CD61FA5C-7699-4561-A896-A0ABABA54C34}" destId="{B100A32C-8EC3-4218-A612-8FE2E5F750EC}" srcOrd="4" destOrd="0" presId="urn:microsoft.com/office/officeart/2005/8/layout/matrix3"/>
  </dgm:cxnLst>
  <dgm:bg/>
  <dgm:whole/>
  <dgm:extLst>
    <a:ext uri="http://schemas.microsoft.com/office/drawing/2008/diagram">
      <dsp:dataModelExt xmlns:dsp="http://schemas.microsoft.com/office/drawing/2008/diagram" relId="rId11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2B48F8-F2E3-4872-BD61-829884CBC46F}">
      <dsp:nvSpPr>
        <dsp:cNvPr id="0" name=""/>
        <dsp:cNvSpPr/>
      </dsp:nvSpPr>
      <dsp:spPr>
        <a:xfrm>
          <a:off x="1399655" y="0"/>
          <a:ext cx="15862762" cy="2635826"/>
        </a:xfrm>
        <a:prstGeom prst="rightArrow">
          <a:avLst/>
        </a:prstGeom>
        <a:solidFill>
          <a:schemeClr val="accent2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34DE89F3-2A32-44BE-88BE-155A93CC7EAA}">
      <dsp:nvSpPr>
        <dsp:cNvPr id="0" name=""/>
        <dsp:cNvSpPr/>
      </dsp:nvSpPr>
      <dsp:spPr>
        <a:xfrm>
          <a:off x="6378" y="790748"/>
          <a:ext cx="4144292" cy="1054330"/>
        </a:xfrm>
        <a:prstGeom prst="round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7630" tIns="87630" rIns="87630" bIns="87630" numCol="1" spcCol="1270" anchor="ctr" anchorCtr="0">
          <a:noAutofit/>
        </a:bodyPr>
        <a:lstStyle/>
        <a:p>
          <a:pPr lvl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300" kern="1200"/>
            <a:t>Prepared by </a:t>
          </a:r>
        </a:p>
        <a:p>
          <a:pPr lvl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300" kern="1200"/>
            <a:t>Regional BD</a:t>
          </a:r>
        </a:p>
      </dsp:txBody>
      <dsp:txXfrm>
        <a:off x="57846" y="842216"/>
        <a:ext cx="4041356" cy="951394"/>
      </dsp:txXfrm>
    </dsp:sp>
    <dsp:sp modelId="{456D1756-6610-416D-B45A-F7B4BCDCE86F}">
      <dsp:nvSpPr>
        <dsp:cNvPr id="0" name=""/>
        <dsp:cNvSpPr/>
      </dsp:nvSpPr>
      <dsp:spPr>
        <a:xfrm>
          <a:off x="4841386" y="790748"/>
          <a:ext cx="4144292" cy="1054330"/>
        </a:xfrm>
        <a:prstGeom prst="round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7630" tIns="87630" rIns="87630" bIns="87630" numCol="1" spcCol="1270" anchor="ctr" anchorCtr="0">
          <a:noAutofit/>
        </a:bodyPr>
        <a:lstStyle/>
        <a:p>
          <a:pPr lvl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300" kern="1200"/>
            <a:t>Reviewed by Vice President (BD)</a:t>
          </a:r>
        </a:p>
      </dsp:txBody>
      <dsp:txXfrm>
        <a:off x="4892854" y="842216"/>
        <a:ext cx="4041356" cy="951394"/>
      </dsp:txXfrm>
    </dsp:sp>
    <dsp:sp modelId="{362869F1-4227-47ED-87BD-D120ECA47682}">
      <dsp:nvSpPr>
        <dsp:cNvPr id="0" name=""/>
        <dsp:cNvSpPr/>
      </dsp:nvSpPr>
      <dsp:spPr>
        <a:xfrm>
          <a:off x="9676394" y="790748"/>
          <a:ext cx="4144292" cy="1054330"/>
        </a:xfrm>
        <a:prstGeom prst="round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7630" tIns="87630" rIns="87630" bIns="87630" numCol="1" spcCol="1270" anchor="ctr" anchorCtr="0">
          <a:noAutofit/>
        </a:bodyPr>
        <a:lstStyle/>
        <a:p>
          <a:pPr lvl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300" kern="1200"/>
            <a:t>Approved by Regional Manager</a:t>
          </a:r>
        </a:p>
      </dsp:txBody>
      <dsp:txXfrm>
        <a:off x="9727862" y="842216"/>
        <a:ext cx="4041356" cy="951394"/>
      </dsp:txXfrm>
    </dsp:sp>
    <dsp:sp modelId="{B613D4B1-9170-4359-B729-4DE805B607DC}">
      <dsp:nvSpPr>
        <dsp:cNvPr id="0" name=""/>
        <dsp:cNvSpPr/>
      </dsp:nvSpPr>
      <dsp:spPr>
        <a:xfrm>
          <a:off x="14511401" y="790748"/>
          <a:ext cx="4144292" cy="1054330"/>
        </a:xfrm>
        <a:prstGeom prst="round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7630" tIns="87630" rIns="87630" bIns="87630" numCol="1" spcCol="1270" anchor="ctr" anchorCtr="0">
          <a:noAutofit/>
        </a:bodyPr>
        <a:lstStyle/>
        <a:p>
          <a:pPr lvl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300" kern="1200"/>
            <a:t>For Information Board of Directors</a:t>
          </a:r>
        </a:p>
      </dsp:txBody>
      <dsp:txXfrm>
        <a:off x="14562869" y="842216"/>
        <a:ext cx="4041356" cy="951394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5FB9D7B5-2CD1-417A-9F00-AC51CD884918}">
      <dsp:nvSpPr>
        <dsp:cNvPr id="0" name=""/>
        <dsp:cNvSpPr/>
      </dsp:nvSpPr>
      <dsp:spPr>
        <a:xfrm>
          <a:off x="939078" y="0"/>
          <a:ext cx="2549235" cy="2549235"/>
        </a:xfrm>
        <a:prstGeom prst="diamond">
          <a:avLst/>
        </a:prstGeom>
        <a:solidFill>
          <a:schemeClr val="accent5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/>
      </dsp:style>
    </dsp:sp>
    <dsp:sp modelId="{80376115-9BAC-4F7D-97D2-E9F2A2B8BFBD}">
      <dsp:nvSpPr>
        <dsp:cNvPr id="0" name=""/>
        <dsp:cNvSpPr/>
      </dsp:nvSpPr>
      <dsp:spPr>
        <a:xfrm>
          <a:off x="1181255" y="242177"/>
          <a:ext cx="994202" cy="994202"/>
        </a:xfrm>
        <a:prstGeom prst="roundRect">
          <a:avLst/>
        </a:prstGeom>
        <a:gradFill rotWithShape="0">
          <a:gsLst>
            <a:gs pos="0">
              <a:schemeClr val="accent5">
                <a:hueOff val="0"/>
                <a:satOff val="0"/>
                <a:lumOff val="0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0"/>
                <a:satOff val="0"/>
                <a:lumOff val="0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0"/>
                <a:satOff val="0"/>
                <a:lumOff val="0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lvl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100" kern="1200"/>
            <a:t>NJSEI</a:t>
          </a:r>
        </a:p>
      </dsp:txBody>
      <dsp:txXfrm>
        <a:off x="1229788" y="290710"/>
        <a:ext cx="897136" cy="897136"/>
      </dsp:txXfrm>
    </dsp:sp>
    <dsp:sp modelId="{C4D87CAE-BA68-43DC-924F-90A9DF3F54BF}">
      <dsp:nvSpPr>
        <dsp:cNvPr id="0" name=""/>
        <dsp:cNvSpPr/>
      </dsp:nvSpPr>
      <dsp:spPr>
        <a:xfrm>
          <a:off x="2251934" y="242177"/>
          <a:ext cx="994202" cy="994202"/>
        </a:xfrm>
        <a:prstGeom prst="roundRect">
          <a:avLst/>
        </a:prstGeom>
        <a:gradFill rotWithShape="0">
          <a:gsLst>
            <a:gs pos="0">
              <a:schemeClr val="accent5">
                <a:hueOff val="-2451115"/>
                <a:satOff val="-3409"/>
                <a:lumOff val="-1307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-2451115"/>
                <a:satOff val="-3409"/>
                <a:lumOff val="-1307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-2451115"/>
                <a:satOff val="-3409"/>
                <a:lumOff val="-1307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lvl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100" kern="1200"/>
            <a:t>QMS</a:t>
          </a:r>
        </a:p>
      </dsp:txBody>
      <dsp:txXfrm>
        <a:off x="2300467" y="290710"/>
        <a:ext cx="897136" cy="897136"/>
      </dsp:txXfrm>
    </dsp:sp>
    <dsp:sp modelId="{BD7806DE-AC41-4515-9833-F7B1A3879E54}">
      <dsp:nvSpPr>
        <dsp:cNvPr id="0" name=""/>
        <dsp:cNvSpPr/>
      </dsp:nvSpPr>
      <dsp:spPr>
        <a:xfrm>
          <a:off x="1181255" y="1312856"/>
          <a:ext cx="994202" cy="994202"/>
        </a:xfrm>
        <a:prstGeom prst="roundRect">
          <a:avLst/>
        </a:prstGeom>
        <a:gradFill rotWithShape="0">
          <a:gsLst>
            <a:gs pos="0">
              <a:schemeClr val="accent5">
                <a:hueOff val="-4902231"/>
                <a:satOff val="-6819"/>
                <a:lumOff val="-2615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-4902231"/>
                <a:satOff val="-6819"/>
                <a:lumOff val="-2615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-4902231"/>
                <a:satOff val="-6819"/>
                <a:lumOff val="-2615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lvl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100" kern="1200"/>
            <a:t>BD1</a:t>
          </a:r>
        </a:p>
      </dsp:txBody>
      <dsp:txXfrm>
        <a:off x="1229788" y="1361389"/>
        <a:ext cx="897136" cy="897136"/>
      </dsp:txXfrm>
    </dsp:sp>
    <dsp:sp modelId="{B100A32C-8EC3-4218-A612-8FE2E5F750EC}">
      <dsp:nvSpPr>
        <dsp:cNvPr id="0" name=""/>
        <dsp:cNvSpPr/>
      </dsp:nvSpPr>
      <dsp:spPr>
        <a:xfrm>
          <a:off x="2251934" y="1312856"/>
          <a:ext cx="994202" cy="994202"/>
        </a:xfrm>
        <a:prstGeom prst="roundRect">
          <a:avLst/>
        </a:prstGeom>
        <a:gradFill rotWithShape="0">
          <a:gsLst>
            <a:gs pos="0">
              <a:schemeClr val="accent5">
                <a:hueOff val="-7353345"/>
                <a:satOff val="-10228"/>
                <a:lumOff val="-3922"/>
                <a:alphaOff val="0"/>
                <a:lumMod val="110000"/>
                <a:satMod val="105000"/>
                <a:tint val="67000"/>
              </a:schemeClr>
            </a:gs>
            <a:gs pos="50000">
              <a:schemeClr val="accent5">
                <a:hueOff val="-7353345"/>
                <a:satOff val="-10228"/>
                <a:lumOff val="-3922"/>
                <a:alphaOff val="0"/>
                <a:lumMod val="105000"/>
                <a:satMod val="103000"/>
                <a:tint val="73000"/>
              </a:schemeClr>
            </a:gs>
            <a:gs pos="100000">
              <a:schemeClr val="accent5">
                <a:hueOff val="-7353345"/>
                <a:satOff val="-10228"/>
                <a:lumOff val="-3922"/>
                <a:alphaOff val="0"/>
                <a:lumMod val="105000"/>
                <a:satMod val="109000"/>
                <a:tint val="81000"/>
              </a:schemeClr>
            </a:gs>
          </a:gsLst>
          <a:lin ang="5400000" scaled="0"/>
        </a:gradFill>
        <a:ln>
          <a:noFill/>
        </a:ln>
        <a:effectLst/>
        <a:scene3d>
          <a:camera prst="orthographicFront"/>
          <a:lightRig rig="flat" dir="t"/>
        </a:scene3d>
        <a:sp3d prstMaterial="dkEdge">
          <a:bevelT w="8200" h="38100"/>
        </a:sp3d>
      </dsp:spPr>
      <dsp:style>
        <a:lnRef idx="0">
          <a:scrgbClr r="0" g="0" b="0"/>
        </a:lnRef>
        <a:fillRef idx="2">
          <a:scrgbClr r="0" g="0" b="0"/>
        </a:fillRef>
        <a:effectRef idx="1">
          <a:scrgbClr r="0" g="0" b="0"/>
        </a:effectRef>
        <a:fontRef idx="minor">
          <a:schemeClr val="dk1"/>
        </a:fontRef>
      </dsp:style>
      <dsp:txBody>
        <a:bodyPr spcFirstLastPara="0" vert="horz" wrap="square" lIns="80010" tIns="80010" rIns="80010" bIns="80010" numCol="1" spcCol="1270" anchor="ctr" anchorCtr="0">
          <a:noAutofit/>
        </a:bodyPr>
        <a:lstStyle/>
        <a:p>
          <a:pPr lvl="0" algn="ctr" defTabSz="933450">
            <a:lnSpc>
              <a:spcPct val="90000"/>
            </a:lnSpc>
            <a:spcBef>
              <a:spcPct val="0"/>
            </a:spcBef>
            <a:spcAft>
              <a:spcPct val="35000"/>
            </a:spcAft>
          </a:pPr>
          <a:r>
            <a:rPr lang="en-US" sz="2100" kern="1200"/>
            <a:t>12 Oct 2016 </a:t>
          </a:r>
        </a:p>
      </dsp:txBody>
      <dsp:txXfrm>
        <a:off x="2300467" y="1361389"/>
        <a:ext cx="897136" cy="897136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matrix3">
  <dgm:title val=""/>
  <dgm:desc val=""/>
  <dgm:catLst>
    <dgm:cat type="matrix" pri="1000"/>
    <dgm:cat type="convert" pri="18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0" destOrd="0"/>
        <dgm:cxn modelId="8" srcId="0" destId="4" srcOrd="1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matrix">
    <dgm:varLst>
      <dgm:chMax val="1"/>
      <dgm:dir/>
      <dgm:resizeHandles val="exact"/>
    </dgm:varLst>
    <dgm:alg type="composite">
      <dgm:param type="ar" val="1"/>
    </dgm:alg>
    <dgm:shape xmlns:r="http://schemas.openxmlformats.org/officeDocument/2006/relationships" r:blip="">
      <dgm:adjLst/>
    </dgm:shape>
    <dgm:presOf/>
    <dgm:choose name="Name0">
      <dgm:if name="Name1" func="var" arg="dir" op="equ" val="norm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29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71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29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71"/>
          <dgm:constr type="ctrY" for="ch" forName="quad4" refType="h" fact="0.71"/>
          <dgm:constr type="primFontSz" for="des" ptType="node" op="equ" val="65"/>
        </dgm:constrLst>
      </dgm:if>
      <dgm:else name="Name2">
        <dgm:constrLst>
          <dgm:constr type="w" for="ch" forName="diamond" refType="w"/>
          <dgm:constr type="h" for="ch" forName="diamond" refType="h"/>
          <dgm:constr type="w" for="ch" forName="quad1" refType="w" fact="0.39"/>
          <dgm:constr type="h" for="ch" forName="quad1" refType="h" fact="0.39"/>
          <dgm:constr type="ctrX" for="ch" forName="quad1" refType="w" fact="0.71"/>
          <dgm:constr type="ctrY" for="ch" forName="quad1" refType="h" fact="0.29"/>
          <dgm:constr type="w" for="ch" forName="quad2" refType="w" fact="0.39"/>
          <dgm:constr type="h" for="ch" forName="quad2" refType="h" fact="0.39"/>
          <dgm:constr type="ctrX" for="ch" forName="quad2" refType="w" fact="0.29"/>
          <dgm:constr type="ctrY" for="ch" forName="quad2" refType="h" fact="0.29"/>
          <dgm:constr type="w" for="ch" forName="quad3" refType="w" fact="0.39"/>
          <dgm:constr type="h" for="ch" forName="quad3" refType="h" fact="0.39"/>
          <dgm:constr type="ctrX" for="ch" forName="quad3" refType="w" fact="0.71"/>
          <dgm:constr type="ctrY" for="ch" forName="quad3" refType="h" fact="0.71"/>
          <dgm:constr type="w" for="ch" forName="quad4" refType="w" fact="0.39"/>
          <dgm:constr type="h" for="ch" forName="quad4" refType="h" fact="0.39"/>
          <dgm:constr type="ctrX" for="ch" forName="quad4" refType="w" fact="0.29"/>
          <dgm:constr type="ctrY" for="ch" forName="quad4" refType="h" fact="0.71"/>
          <dgm:constr type="primFontSz" for="des" ptType="node" op="equ" val="65"/>
        </dgm:constrLst>
      </dgm:else>
    </dgm:choose>
    <dgm:ruleLst/>
    <dgm:choose name="Name3">
      <dgm:if name="Name4" axis="ch" ptType="node" func="cnt" op="gte" val="1">
        <dgm:layoutNode name="diamond" styleLbl="bgShp">
          <dgm:alg type="sp"/>
          <dgm:shape xmlns:r="http://schemas.openxmlformats.org/officeDocument/2006/relationships" type="diamond" r:blip="">
            <dgm:adjLst/>
          </dgm:shape>
          <dgm:presOf/>
          <dgm:constrLst>
            <dgm:constr type="w" refType="h" op="equ"/>
          </dgm:constrLst>
          <dgm:ruleLst/>
        </dgm:layoutNode>
        <dgm:layoutNode name="quad1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1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2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2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3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3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  <dgm:layoutNode name="quad4">
          <dgm:varLst>
            <dgm:chMax val="0"/>
            <dgm:chPref val="0"/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ch desOrSelf" ptType="node node" st="4 1" cnt="1 0"/>
          <dgm:constrLst>
            <dgm:constr type="w" refType="h" op="equ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primFontSz" val="5" fact="NaN" max="NaN"/>
          </dgm:ruleLst>
        </dgm:layoutNode>
      </dgm:if>
      <dgm:else name="Name5"/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3">
  <dgm:title val=""/>
  <dgm:desc val=""/>
  <dgm:catLst>
    <dgm:cat type="simple" pri="10300"/>
  </dgm:catLst>
  <dgm:scene3d>
    <a:camera prst="orthographicFront"/>
    <a:lightRig rig="threePt" dir="t"/>
  </dgm:scene3d>
  <dgm:styleLbl name="node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lnNode1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dk1"/>
      </a:fontRef>
    </dgm:style>
  </dgm:styleLbl>
  <dgm:styleLbl name="venn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node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1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2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3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asst4">
    <dgm:scene3d>
      <a:camera prst="orthographicFront"/>
      <a:lightRig rig="flat" dir="t"/>
    </dgm:scene3d>
    <dgm:sp3d prstMaterial="dkEdge">
      <a:bevelT w="8200" h="38100"/>
    </dgm:sp3d>
    <dgm:txPr/>
    <dgm:style>
      <a:lnRef idx="0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>
        <a:schemeClr val="dk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2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flat" dir="t"/>
    </dgm:scene3d>
    <dgm:sp3d prstMaterial="dkEdge">
      <a:bevelT w="8200" h="38100"/>
    </dgm:sp3d>
    <dgm:txPr/>
    <dgm:style>
      <a:lnRef idx="1">
        <a:scrgbClr r="0" g="0" b="0"/>
      </a:lnRef>
      <a:fillRef idx="2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Layout" Target="../diagrams/layout2.xml"/><Relationship Id="rId3" Type="http://schemas.openxmlformats.org/officeDocument/2006/relationships/diagramLayout" Target="../diagrams/layout1.xml"/><Relationship Id="rId7" Type="http://schemas.openxmlformats.org/officeDocument/2006/relationships/diagramData" Target="../diagrams/data2.xml"/><Relationship Id="rId2" Type="http://schemas.openxmlformats.org/officeDocument/2006/relationships/diagramData" Target="../diagrams/data1.xml"/><Relationship Id="rId1" Type="http://schemas.openxmlformats.org/officeDocument/2006/relationships/image" Target="../media/image1.jpeg"/><Relationship Id="rId6" Type="http://schemas.microsoft.com/office/2007/relationships/diagramDrawing" Target="../diagrams/drawing1.xml"/><Relationship Id="rId11" Type="http://schemas.microsoft.com/office/2007/relationships/diagramDrawing" Target="../diagrams/drawing2.xml"/><Relationship Id="rId5" Type="http://schemas.openxmlformats.org/officeDocument/2006/relationships/diagramColors" Target="../diagrams/colors1.xml"/><Relationship Id="rId10" Type="http://schemas.openxmlformats.org/officeDocument/2006/relationships/diagramColors" Target="../diagrams/colors2.xml"/><Relationship Id="rId4" Type="http://schemas.openxmlformats.org/officeDocument/2006/relationships/diagramQuickStyle" Target="../diagrams/quickStyle1.xml"/><Relationship Id="rId9" Type="http://schemas.openxmlformats.org/officeDocument/2006/relationships/diagramQuickStyle" Target="../diagrams/quickStyl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60961</xdr:colOff>
      <xdr:row>18</xdr:row>
      <xdr:rowOff>875239</xdr:rowOff>
    </xdr:from>
    <xdr:to>
      <xdr:col>60</xdr:col>
      <xdr:colOff>256287</xdr:colOff>
      <xdr:row>18</xdr:row>
      <xdr:rowOff>1895579</xdr:rowOff>
    </xdr:to>
    <xdr:pic>
      <xdr:nvPicPr>
        <xdr:cNvPr id="4" name="Picture 3" descr="Description: logonjsei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572161" y="10933639"/>
          <a:ext cx="1475486" cy="102034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45</xdr:col>
      <xdr:colOff>247494</xdr:colOff>
      <xdr:row>18</xdr:row>
      <xdr:rowOff>0</xdr:rowOff>
    </xdr:from>
    <xdr:ext cx="3505640" cy="405432"/>
    <xdr:sp macro="" textlink="">
      <xdr:nvSpPr>
        <xdr:cNvPr id="5" name="TextBox 4"/>
        <xdr:cNvSpPr txBox="1"/>
      </xdr:nvSpPr>
      <xdr:spPr>
        <a:xfrm>
          <a:off x="43167144" y="9213571"/>
          <a:ext cx="3505640" cy="40543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2000" b="1"/>
            <a:t>NJS ENGINEERS INDIA PVT. LTD</a:t>
          </a:r>
        </a:p>
      </xdr:txBody>
    </xdr:sp>
    <xdr:clientData/>
  </xdr:oneCellAnchor>
  <xdr:twoCellAnchor>
    <xdr:from>
      <xdr:col>6</xdr:col>
      <xdr:colOff>644235</xdr:colOff>
      <xdr:row>0</xdr:row>
      <xdr:rowOff>0</xdr:rowOff>
    </xdr:from>
    <xdr:to>
      <xdr:col>22</xdr:col>
      <xdr:colOff>942108</xdr:colOff>
      <xdr:row>9</xdr:row>
      <xdr:rowOff>235527</xdr:rowOff>
    </xdr:to>
    <xdr:graphicFrame macro="">
      <xdr:nvGraphicFramePr>
        <xdr:cNvPr id="2" name="Diagram 1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1</xdr:col>
      <xdr:colOff>526473</xdr:colOff>
      <xdr:row>0</xdr:row>
      <xdr:rowOff>0</xdr:rowOff>
    </xdr:from>
    <xdr:to>
      <xdr:col>4</xdr:col>
      <xdr:colOff>296140</xdr:colOff>
      <xdr:row>9</xdr:row>
      <xdr:rowOff>148936</xdr:rowOff>
    </xdr:to>
    <xdr:graphicFrame macro="">
      <xdr:nvGraphicFramePr>
        <xdr:cNvPr id="6" name="Diagram 5"/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7" r:lo="rId8" r:qs="rId9" r:cs="rId10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33" displayName="Table33" ref="B13:AH36" totalsRowCount="1" headerRowDxfId="73" dataDxfId="72" totalsRowDxfId="71">
  <sortState ref="B6:AM27">
    <sortCondition ref="F6:F27"/>
  </sortState>
  <tableColumns count="33">
    <tableColumn id="2" name="Operation" dataDxfId="70" totalsRowDxfId="69"/>
    <tableColumn id="3" name="Work Name" dataDxfId="68" totalsRowDxfId="67"/>
    <tableColumn id="8" name="Client" dataDxfId="66" totalsRowDxfId="65"/>
    <tableColumn id="21" name="Client Sector" dataDxfId="64" totalsRowDxfId="63"/>
    <tableColumn id="19" name="Stage" dataDxfId="62" totalsRowDxfId="61"/>
    <tableColumn id="4" name="Strategic Ranking  (H/M/L)" dataDxfId="60" totalsRowDxfId="59"/>
    <tableColumn id="26" name="Bid Fees" dataDxfId="58" totalsRowDxfId="57"/>
    <tableColumn id="28" name="EMD" dataDxfId="56" totalsRowDxfId="55"/>
    <tableColumn id="1" name="Form of EMD" dataDxfId="54" totalsRowDxfId="53"/>
    <tableColumn id="5" name="Sector" dataDxfId="52" totalsRowDxfId="51"/>
    <tableColumn id="7" name="Bid Manager" dataDxfId="50" totalsRowDxfId="49"/>
    <tableColumn id="9" name="Contact person at Client" dataDxfId="48" totalsRowDxfId="47"/>
    <tableColumn id="10" name="Date of  Submission" dataDxfId="46" totalsRowDxfId="45"/>
    <tableColumn id="36" name="Likely start Date" dataDxfId="44" totalsRowDxfId="43"/>
    <tableColumn id="11" name="Percentage chance of project happening" dataDxfId="42" totalsRowDxfId="41"/>
    <tableColumn id="12" name="Percentage chance of NJS success/NJSEI" dataDxfId="40" totalsRowDxfId="39"/>
    <tableColumn id="30" name="Likely Competition" dataDxfId="38" totalsRowDxfId="37"/>
    <tableColumn id="29" name="Status" dataDxfId="36" totalsRowDxfId="35"/>
    <tableColumn id="13" name="Date of result" dataDxfId="34" totalsRowDxfId="33"/>
    <tableColumn id="15" name="Currency" dataDxfId="32" totalsRowDxfId="31"/>
    <tableColumn id="16" name="Capital Value" dataDxfId="30" totalsRowDxfId="29"/>
    <tableColumn id="17" name="Gross Revenue" totalsRowFunction="custom" dataDxfId="28" totalsRowDxfId="27">
      <totalsRowFormula>SUM(W30:W35)</totalsRowFormula>
    </tableColumn>
    <tableColumn id="18" name="Net NJS Revenue" totalsRowFunction="custom" dataDxfId="26" totalsRowDxfId="25">
      <totalsRowFormula>SUM(X30:X35)</totalsRowFormula>
    </tableColumn>
    <tableColumn id="33" name="Duration of project in Months" dataDxfId="24" totalsRowDxfId="23" dataCellStyle="Comma"/>
    <tableColumn id="20" name="Funding Stream" dataDxfId="22" totalsRowDxfId="21"/>
    <tableColumn id="27" name="Follow up Comments " dataDxfId="20" totalsRowDxfId="19"/>
    <tableColumn id="23" name="Notes" dataDxfId="18" totalsRowDxfId="17"/>
    <tableColumn id="34" name="Contract Type" dataDxfId="16" totalsRowDxfId="15"/>
    <tableColumn id="32" name="Probable Qualifying Criteria" dataDxfId="14" totalsRowDxfId="13"/>
    <tableColumn id="31" name="Strategy" dataDxfId="12" totalsRowDxfId="11"/>
    <tableColumn id="35" name="Additional Resource Requirement" dataDxfId="10" totalsRowDxfId="9"/>
    <tableColumn id="37" name="Follow up Notes " dataDxfId="8" totalsRowDxfId="7"/>
    <tableColumn id="38" name="Follow up date" dataDxfId="6" totalsRowDxfId="5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47" displayName="Table47" ref="AA2:AB6" totalsRowShown="0" headerRowDxfId="4" dataDxfId="3" tableBorderDxfId="2">
  <autoFilter ref="AA2:AB6"/>
  <tableColumns count="2">
    <tableColumn id="1" name="Stage" dataDxfId="1"/>
    <tableColumn id="2" name="Description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53"/>
  <sheetViews>
    <sheetView tabSelected="1" zoomScale="70" zoomScaleNormal="70" workbookViewId="0">
      <selection activeCell="E9" sqref="E9"/>
    </sheetView>
  </sheetViews>
  <sheetFormatPr defaultColWidth="9.140625" defaultRowHeight="21" x14ac:dyDescent="0.35"/>
  <cols>
    <col min="1" max="1" width="6.5703125" style="1" bestFit="1" customWidth="1"/>
    <col min="2" max="2" width="15.85546875" style="2" customWidth="1"/>
    <col min="3" max="3" width="26.85546875" style="2" customWidth="1"/>
    <col min="4" max="4" width="27.140625" style="2" customWidth="1"/>
    <col min="5" max="5" width="17.5703125" style="2" bestFit="1" customWidth="1"/>
    <col min="6" max="6" width="5.85546875" style="1" bestFit="1" customWidth="1"/>
    <col min="7" max="7" width="16.28515625" style="2" bestFit="1" customWidth="1"/>
    <col min="8" max="8" width="9.85546875" style="1" customWidth="1"/>
    <col min="9" max="9" width="13.7109375" style="3" bestFit="1" customWidth="1"/>
    <col min="10" max="10" width="12.42578125" style="3" bestFit="1" customWidth="1"/>
    <col min="11" max="11" width="19" style="3" bestFit="1" customWidth="1"/>
    <col min="12" max="12" width="19.7109375" style="2" bestFit="1" customWidth="1"/>
    <col min="13" max="13" width="24" style="2" bestFit="1" customWidth="1"/>
    <col min="14" max="14" width="18.85546875" style="4" bestFit="1" customWidth="1"/>
    <col min="15" max="15" width="14.28515625" style="4" customWidth="1"/>
    <col min="16" max="16" width="16.7109375" style="2" customWidth="1"/>
    <col min="17" max="17" width="19.5703125" style="2" bestFit="1" customWidth="1"/>
    <col min="18" max="18" width="23" style="2" customWidth="1"/>
    <col min="19" max="19" width="11.85546875" style="2" customWidth="1"/>
    <col min="20" max="20" width="24.28515625" style="5" customWidth="1"/>
    <col min="21" max="21" width="8.85546875" style="2" bestFit="1" customWidth="1"/>
    <col min="22" max="22" width="23" style="2" bestFit="1" customWidth="1"/>
    <col min="23" max="23" width="17.28515625" style="2" customWidth="1"/>
    <col min="24" max="24" width="20.5703125" style="2" bestFit="1" customWidth="1"/>
    <col min="25" max="25" width="21.140625" style="6" customWidth="1"/>
    <col min="26" max="26" width="15.42578125" style="2" customWidth="1"/>
    <col min="27" max="27" width="16.7109375" style="7" customWidth="1"/>
    <col min="28" max="28" width="33.42578125" style="2" customWidth="1"/>
    <col min="29" max="29" width="14.5703125" style="2" bestFit="1" customWidth="1"/>
    <col min="30" max="30" width="28.140625" style="2" customWidth="1"/>
    <col min="31" max="31" width="24" style="8" hidden="1" customWidth="1"/>
    <col min="32" max="32" width="18.28515625" style="8" hidden="1" customWidth="1"/>
    <col min="33" max="33" width="26.140625" style="8" hidden="1" customWidth="1"/>
    <col min="34" max="34" width="13.5703125" style="8" hidden="1" customWidth="1"/>
    <col min="35" max="16384" width="9.140625" style="2"/>
  </cols>
  <sheetData>
    <row r="1" spans="1:34" x14ac:dyDescent="0.4">
      <c r="A1" s="46"/>
      <c r="B1" s="47"/>
      <c r="C1" s="47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9"/>
      <c r="Y1" s="50"/>
    </row>
    <row r="2" spans="1:34" x14ac:dyDescent="0.4">
      <c r="A2" s="46"/>
      <c r="B2" s="47"/>
      <c r="C2" s="47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9"/>
      <c r="Y2" s="50"/>
      <c r="AA2" s="43" t="s">
        <v>5</v>
      </c>
      <c r="AB2" s="43" t="s">
        <v>166</v>
      </c>
    </row>
    <row r="3" spans="1:34" x14ac:dyDescent="0.3">
      <c r="A3" s="46"/>
      <c r="B3" s="47"/>
      <c r="C3" s="47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9"/>
      <c r="Y3" s="50"/>
      <c r="AA3" s="44" t="s">
        <v>35</v>
      </c>
      <c r="AB3" s="44" t="s">
        <v>167</v>
      </c>
    </row>
    <row r="4" spans="1:34" x14ac:dyDescent="0.3">
      <c r="A4" s="46"/>
      <c r="B4" s="47"/>
      <c r="C4" s="47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9"/>
      <c r="Y4" s="50"/>
      <c r="AA4" s="44" t="s">
        <v>86</v>
      </c>
      <c r="AB4" s="44" t="s">
        <v>168</v>
      </c>
    </row>
    <row r="5" spans="1:34" x14ac:dyDescent="0.3">
      <c r="A5" s="46"/>
      <c r="B5" s="47"/>
      <c r="C5" s="47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9"/>
      <c r="Y5" s="50"/>
      <c r="AA5" s="44" t="s">
        <v>169</v>
      </c>
      <c r="AB5" s="44" t="s">
        <v>170</v>
      </c>
    </row>
    <row r="6" spans="1:34" x14ac:dyDescent="0.3">
      <c r="A6" s="46"/>
      <c r="B6" s="47"/>
      <c r="C6" s="47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9"/>
      <c r="Y6" s="50"/>
      <c r="AA6" s="45" t="s">
        <v>153</v>
      </c>
      <c r="AB6" s="45" t="s">
        <v>171</v>
      </c>
    </row>
    <row r="7" spans="1:34" x14ac:dyDescent="0.3">
      <c r="A7" s="46"/>
      <c r="B7" s="47"/>
      <c r="C7" s="47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9"/>
      <c r="Y7" s="50"/>
      <c r="AA7" s="2"/>
    </row>
    <row r="8" spans="1:34" x14ac:dyDescent="0.3">
      <c r="A8" s="46"/>
      <c r="B8" s="47"/>
      <c r="C8" s="47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9"/>
      <c r="Y8" s="50"/>
      <c r="AA8" s="2"/>
    </row>
    <row r="9" spans="1:34" x14ac:dyDescent="0.4">
      <c r="A9" s="46"/>
      <c r="B9" s="47"/>
      <c r="C9" s="47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9"/>
      <c r="Y9" s="50"/>
    </row>
    <row r="10" spans="1:34" x14ac:dyDescent="0.35">
      <c r="A10" s="46"/>
      <c r="B10" s="47"/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9"/>
      <c r="Y10" s="50"/>
    </row>
    <row r="11" spans="1:34" ht="25.5" customHeight="1" x14ac:dyDescent="0.25">
      <c r="A11" s="54" t="s">
        <v>190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</row>
    <row r="12" spans="1:34" x14ac:dyDescent="0.35">
      <c r="A12" s="52" t="s">
        <v>191</v>
      </c>
      <c r="B12" s="47"/>
      <c r="C12" s="53" t="s">
        <v>192</v>
      </c>
      <c r="D12" s="48"/>
      <c r="E12" s="48" t="s">
        <v>193</v>
      </c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51"/>
      <c r="X12" s="49"/>
      <c r="Y12" s="50"/>
    </row>
    <row r="13" spans="1:34" ht="84" x14ac:dyDescent="0.3">
      <c r="A13" s="9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1" t="s">
        <v>5</v>
      </c>
      <c r="G13" s="1" t="s">
        <v>6</v>
      </c>
      <c r="H13" s="3" t="s">
        <v>7</v>
      </c>
      <c r="I13" s="3" t="s">
        <v>8</v>
      </c>
      <c r="J13" s="3" t="s">
        <v>9</v>
      </c>
      <c r="K13" s="2" t="s">
        <v>10</v>
      </c>
      <c r="L13" s="2" t="s">
        <v>11</v>
      </c>
      <c r="M13" s="2" t="s">
        <v>12</v>
      </c>
      <c r="N13" s="10" t="s">
        <v>13</v>
      </c>
      <c r="O13" s="10" t="s">
        <v>14</v>
      </c>
      <c r="P13" s="2" t="s">
        <v>15</v>
      </c>
      <c r="Q13" s="2" t="s">
        <v>16</v>
      </c>
      <c r="R13" s="2" t="s">
        <v>17</v>
      </c>
      <c r="S13" s="2" t="s">
        <v>181</v>
      </c>
      <c r="T13" s="5" t="s">
        <v>189</v>
      </c>
      <c r="U13" s="2" t="s">
        <v>18</v>
      </c>
      <c r="V13" s="2" t="s">
        <v>19</v>
      </c>
      <c r="W13" s="2" t="s">
        <v>20</v>
      </c>
      <c r="X13" s="2" t="s">
        <v>21</v>
      </c>
      <c r="Y13" s="6" t="s">
        <v>22</v>
      </c>
      <c r="Z13" s="2" t="s">
        <v>23</v>
      </c>
      <c r="AA13" s="2" t="s">
        <v>24</v>
      </c>
      <c r="AB13" s="2" t="s">
        <v>25</v>
      </c>
      <c r="AC13" s="2" t="s">
        <v>26</v>
      </c>
      <c r="AD13" s="2" t="s">
        <v>27</v>
      </c>
      <c r="AE13" s="8" t="s">
        <v>28</v>
      </c>
      <c r="AF13" s="8" t="s">
        <v>29</v>
      </c>
      <c r="AG13" s="8" t="s">
        <v>30</v>
      </c>
      <c r="AH13" s="8" t="s">
        <v>31</v>
      </c>
    </row>
    <row r="14" spans="1:34" ht="168" x14ac:dyDescent="0.25">
      <c r="A14" s="11">
        <v>1</v>
      </c>
      <c r="B14" s="12" t="s">
        <v>172</v>
      </c>
      <c r="C14" s="13" t="s">
        <v>32</v>
      </c>
      <c r="D14" s="14" t="s">
        <v>33</v>
      </c>
      <c r="E14" s="12" t="s">
        <v>34</v>
      </c>
      <c r="F14" s="15" t="s">
        <v>35</v>
      </c>
      <c r="G14" s="16" t="s">
        <v>69</v>
      </c>
      <c r="H14" s="17">
        <v>10000</v>
      </c>
      <c r="I14" s="17">
        <v>25000</v>
      </c>
      <c r="J14" s="17" t="s">
        <v>37</v>
      </c>
      <c r="K14" s="12" t="s">
        <v>38</v>
      </c>
      <c r="L14" s="12" t="s">
        <v>39</v>
      </c>
      <c r="M14" s="12" t="s">
        <v>179</v>
      </c>
      <c r="N14" s="18">
        <v>41912</v>
      </c>
      <c r="O14" s="18">
        <v>42095</v>
      </c>
      <c r="P14" s="19">
        <v>1</v>
      </c>
      <c r="Q14" s="19">
        <v>1</v>
      </c>
      <c r="R14" s="20" t="s">
        <v>174</v>
      </c>
      <c r="S14" s="19" t="s">
        <v>40</v>
      </c>
      <c r="T14" s="21">
        <v>42087</v>
      </c>
      <c r="U14" s="12" t="s">
        <v>41</v>
      </c>
      <c r="V14" s="22">
        <v>500000000</v>
      </c>
      <c r="W14" s="22">
        <v>30000000</v>
      </c>
      <c r="X14" s="22">
        <f>Table33[[#This Row],[Gross Revenue]]-Table33[[#This Row],[Gross Revenue]]*12.3%</f>
        <v>26310000</v>
      </c>
      <c r="Y14" s="23">
        <v>12</v>
      </c>
      <c r="Z14" s="12" t="s">
        <v>180</v>
      </c>
      <c r="AA14" s="24"/>
      <c r="AB14" s="13" t="s">
        <v>42</v>
      </c>
      <c r="AC14" s="13" t="s">
        <v>43</v>
      </c>
      <c r="AD14" s="13" t="s">
        <v>44</v>
      </c>
      <c r="AE14" s="25" t="s">
        <v>45</v>
      </c>
      <c r="AF14" s="25" t="s">
        <v>176</v>
      </c>
      <c r="AG14" s="25" t="s">
        <v>177</v>
      </c>
      <c r="AH14" s="25"/>
    </row>
    <row r="15" spans="1:34" ht="63" x14ac:dyDescent="0.25">
      <c r="A15" s="11">
        <v>2</v>
      </c>
      <c r="B15" s="12" t="s">
        <v>172</v>
      </c>
      <c r="C15" s="13" t="s">
        <v>47</v>
      </c>
      <c r="D15" s="14" t="s">
        <v>48</v>
      </c>
      <c r="E15" s="12" t="s">
        <v>49</v>
      </c>
      <c r="F15" s="15" t="s">
        <v>35</v>
      </c>
      <c r="G15" s="16" t="s">
        <v>50</v>
      </c>
      <c r="H15" s="17" t="s">
        <v>37</v>
      </c>
      <c r="I15" s="26">
        <v>0.05</v>
      </c>
      <c r="J15" s="17" t="s">
        <v>51</v>
      </c>
      <c r="K15" s="12" t="s">
        <v>52</v>
      </c>
      <c r="L15" s="12" t="s">
        <v>53</v>
      </c>
      <c r="M15" s="12" t="s">
        <v>54</v>
      </c>
      <c r="N15" s="18">
        <v>41897</v>
      </c>
      <c r="O15" s="18">
        <v>42005</v>
      </c>
      <c r="P15" s="19">
        <v>1</v>
      </c>
      <c r="Q15" s="19">
        <v>1</v>
      </c>
      <c r="R15" s="19" t="s">
        <v>55</v>
      </c>
      <c r="S15" s="19" t="s">
        <v>40</v>
      </c>
      <c r="T15" s="21">
        <v>42005</v>
      </c>
      <c r="U15" s="12" t="s">
        <v>41</v>
      </c>
      <c r="V15" s="22">
        <v>1000000000</v>
      </c>
      <c r="W15" s="22">
        <v>6450000</v>
      </c>
      <c r="X15" s="22">
        <f>Table33[[#This Row],[Gross Revenue]]-Table33[[#This Row],[Gross Revenue]]*12.3%</f>
        <v>5656650</v>
      </c>
      <c r="Y15" s="23">
        <v>6</v>
      </c>
      <c r="Z15" s="12" t="s">
        <v>56</v>
      </c>
      <c r="AA15" s="24"/>
      <c r="AB15" s="13" t="s">
        <v>57</v>
      </c>
      <c r="AC15" s="13" t="s">
        <v>58</v>
      </c>
      <c r="AD15" s="13" t="s">
        <v>59</v>
      </c>
      <c r="AE15" s="25" t="s">
        <v>37</v>
      </c>
      <c r="AF15" s="25" t="s">
        <v>60</v>
      </c>
      <c r="AG15" s="25" t="s">
        <v>37</v>
      </c>
      <c r="AH15" s="25" t="s">
        <v>37</v>
      </c>
    </row>
    <row r="16" spans="1:34" ht="42" x14ac:dyDescent="0.25">
      <c r="A16" s="11">
        <v>3</v>
      </c>
      <c r="B16" s="12" t="s">
        <v>172</v>
      </c>
      <c r="C16" s="13" t="s">
        <v>61</v>
      </c>
      <c r="D16" s="14" t="s">
        <v>48</v>
      </c>
      <c r="E16" s="12" t="s">
        <v>49</v>
      </c>
      <c r="F16" s="15" t="s">
        <v>35</v>
      </c>
      <c r="G16" s="16" t="s">
        <v>50</v>
      </c>
      <c r="H16" s="17" t="s">
        <v>37</v>
      </c>
      <c r="I16" s="26">
        <v>0.05</v>
      </c>
      <c r="J16" s="17" t="s">
        <v>51</v>
      </c>
      <c r="K16" s="12" t="s">
        <v>62</v>
      </c>
      <c r="L16" s="12" t="s">
        <v>53</v>
      </c>
      <c r="M16" s="12" t="s">
        <v>54</v>
      </c>
      <c r="N16" s="18">
        <v>41897</v>
      </c>
      <c r="O16" s="18">
        <v>42036</v>
      </c>
      <c r="P16" s="19">
        <v>1</v>
      </c>
      <c r="Q16" s="19">
        <v>1</v>
      </c>
      <c r="R16" s="19" t="s">
        <v>55</v>
      </c>
      <c r="S16" s="19" t="s">
        <v>40</v>
      </c>
      <c r="T16" s="21">
        <v>42036</v>
      </c>
      <c r="U16" s="12" t="s">
        <v>41</v>
      </c>
      <c r="V16" s="22">
        <f>Table33[[#This Row],[Gross Revenue]]*40</f>
        <v>0</v>
      </c>
      <c r="W16" s="22">
        <v>0</v>
      </c>
      <c r="X16" s="22">
        <v>0</v>
      </c>
      <c r="Y16" s="23">
        <v>12</v>
      </c>
      <c r="Z16" s="12" t="s">
        <v>56</v>
      </c>
      <c r="AA16" s="24"/>
      <c r="AB16" s="13" t="s">
        <v>63</v>
      </c>
      <c r="AC16" s="13" t="s">
        <v>58</v>
      </c>
      <c r="AD16" s="13" t="s">
        <v>59</v>
      </c>
      <c r="AE16" s="25" t="s">
        <v>37</v>
      </c>
      <c r="AF16" s="25" t="s">
        <v>37</v>
      </c>
      <c r="AG16" s="25" t="s">
        <v>37</v>
      </c>
      <c r="AH16" s="25" t="s">
        <v>37</v>
      </c>
    </row>
    <row r="17" spans="1:34" ht="42" x14ac:dyDescent="0.25">
      <c r="A17" s="11">
        <v>4</v>
      </c>
      <c r="B17" s="12" t="s">
        <v>172</v>
      </c>
      <c r="C17" s="13" t="s">
        <v>64</v>
      </c>
      <c r="D17" s="14" t="s">
        <v>48</v>
      </c>
      <c r="E17" s="12" t="s">
        <v>49</v>
      </c>
      <c r="F17" s="15" t="s">
        <v>35</v>
      </c>
      <c r="G17" s="16" t="s">
        <v>50</v>
      </c>
      <c r="H17" s="17" t="s">
        <v>37</v>
      </c>
      <c r="I17" s="26">
        <v>0.05</v>
      </c>
      <c r="J17" s="17" t="s">
        <v>51</v>
      </c>
      <c r="K17" s="12" t="s">
        <v>62</v>
      </c>
      <c r="L17" s="12" t="s">
        <v>53</v>
      </c>
      <c r="M17" s="12" t="s">
        <v>54</v>
      </c>
      <c r="N17" s="18">
        <v>41897</v>
      </c>
      <c r="O17" s="18">
        <v>42005</v>
      </c>
      <c r="P17" s="19">
        <v>1</v>
      </c>
      <c r="Q17" s="19">
        <v>1</v>
      </c>
      <c r="R17" s="19" t="s">
        <v>55</v>
      </c>
      <c r="S17" s="19" t="s">
        <v>40</v>
      </c>
      <c r="T17" s="21">
        <v>42005</v>
      </c>
      <c r="U17" s="12" t="s">
        <v>41</v>
      </c>
      <c r="V17" s="22">
        <v>215000000</v>
      </c>
      <c r="W17" s="22">
        <v>0</v>
      </c>
      <c r="X17" s="22">
        <f>Table33[[#This Row],[Gross Revenue]]</f>
        <v>0</v>
      </c>
      <c r="Y17" s="23">
        <v>24</v>
      </c>
      <c r="Z17" s="12" t="s">
        <v>56</v>
      </c>
      <c r="AA17" s="24" t="s">
        <v>65</v>
      </c>
      <c r="AB17" s="13" t="s">
        <v>66</v>
      </c>
      <c r="AC17" s="13" t="s">
        <v>58</v>
      </c>
      <c r="AD17" s="13" t="s">
        <v>59</v>
      </c>
      <c r="AE17" s="25" t="s">
        <v>37</v>
      </c>
      <c r="AF17" s="25" t="s">
        <v>37</v>
      </c>
      <c r="AG17" s="25" t="s">
        <v>37</v>
      </c>
      <c r="AH17" s="25" t="s">
        <v>37</v>
      </c>
    </row>
    <row r="18" spans="1:34" ht="42" x14ac:dyDescent="0.25">
      <c r="A18" s="11">
        <v>5</v>
      </c>
      <c r="B18" s="12" t="s">
        <v>172</v>
      </c>
      <c r="C18" s="13" t="s">
        <v>75</v>
      </c>
      <c r="D18" s="14" t="s">
        <v>75</v>
      </c>
      <c r="E18" s="12" t="s">
        <v>49</v>
      </c>
      <c r="F18" s="15" t="s">
        <v>35</v>
      </c>
      <c r="G18" s="16" t="s">
        <v>50</v>
      </c>
      <c r="H18" s="17" t="s">
        <v>76</v>
      </c>
      <c r="I18" s="17" t="s">
        <v>76</v>
      </c>
      <c r="J18" s="17"/>
      <c r="K18" s="12" t="s">
        <v>77</v>
      </c>
      <c r="L18" s="12" t="s">
        <v>53</v>
      </c>
      <c r="M18" s="12" t="s">
        <v>78</v>
      </c>
      <c r="N18" s="18"/>
      <c r="O18" s="18"/>
      <c r="P18" s="19">
        <v>1</v>
      </c>
      <c r="Q18" s="19">
        <v>1</v>
      </c>
      <c r="R18" s="19" t="s">
        <v>37</v>
      </c>
      <c r="S18" s="19" t="s">
        <v>40</v>
      </c>
      <c r="T18" s="21">
        <v>42005</v>
      </c>
      <c r="U18" s="12" t="s">
        <v>41</v>
      </c>
      <c r="V18" s="22"/>
      <c r="W18" s="22">
        <v>6000000</v>
      </c>
      <c r="X18" s="22">
        <f>Table33[[#This Row],[Gross Revenue]]</f>
        <v>6000000</v>
      </c>
      <c r="Y18" s="23">
        <v>6</v>
      </c>
      <c r="Z18" s="12" t="s">
        <v>79</v>
      </c>
      <c r="AA18" s="24"/>
      <c r="AB18" s="13" t="s">
        <v>80</v>
      </c>
      <c r="AC18" s="13" t="s">
        <v>58</v>
      </c>
      <c r="AD18" s="13" t="s">
        <v>81</v>
      </c>
      <c r="AE18" s="25" t="s">
        <v>173</v>
      </c>
      <c r="AF18" s="25"/>
      <c r="AG18" s="25" t="s">
        <v>82</v>
      </c>
      <c r="AH18" s="27" t="s">
        <v>83</v>
      </c>
    </row>
    <row r="19" spans="1:34" ht="168" x14ac:dyDescent="0.25">
      <c r="A19" s="11">
        <v>6</v>
      </c>
      <c r="B19" s="12" t="s">
        <v>172</v>
      </c>
      <c r="C19" s="13" t="s">
        <v>84</v>
      </c>
      <c r="D19" s="14" t="s">
        <v>85</v>
      </c>
      <c r="E19" s="12" t="s">
        <v>49</v>
      </c>
      <c r="F19" s="15" t="s">
        <v>86</v>
      </c>
      <c r="G19" s="16" t="s">
        <v>69</v>
      </c>
      <c r="H19" s="17">
        <v>10000</v>
      </c>
      <c r="I19" s="17">
        <v>250000</v>
      </c>
      <c r="J19" s="17" t="s">
        <v>87</v>
      </c>
      <c r="K19" s="12" t="s">
        <v>88</v>
      </c>
      <c r="L19" s="12" t="s">
        <v>39</v>
      </c>
      <c r="M19" s="12" t="s">
        <v>89</v>
      </c>
      <c r="N19" s="18">
        <v>41883</v>
      </c>
      <c r="O19" s="18">
        <v>42125</v>
      </c>
      <c r="P19" s="19">
        <v>1</v>
      </c>
      <c r="Q19" s="19">
        <v>1</v>
      </c>
      <c r="R19" s="19"/>
      <c r="S19" s="19" t="s">
        <v>40</v>
      </c>
      <c r="T19" s="21"/>
      <c r="U19" s="12" t="s">
        <v>41</v>
      </c>
      <c r="V19" s="22" t="s">
        <v>90</v>
      </c>
      <c r="W19" s="22">
        <f>Table33[[#This Row],[Net NJS Revenue]]*1.123</f>
        <v>32679300</v>
      </c>
      <c r="X19" s="22">
        <v>29100000</v>
      </c>
      <c r="Y19" s="23">
        <v>36</v>
      </c>
      <c r="Z19" s="12" t="s">
        <v>85</v>
      </c>
      <c r="AA19" s="24" t="s">
        <v>91</v>
      </c>
      <c r="AB19" s="13" t="s">
        <v>92</v>
      </c>
      <c r="AC19" s="13" t="s">
        <v>58</v>
      </c>
      <c r="AD19" s="13" t="s">
        <v>93</v>
      </c>
      <c r="AE19" s="25" t="s">
        <v>94</v>
      </c>
      <c r="AF19" s="25" t="s">
        <v>95</v>
      </c>
      <c r="AG19" s="25" t="s">
        <v>182</v>
      </c>
      <c r="AH19" s="25" t="s">
        <v>96</v>
      </c>
    </row>
    <row r="20" spans="1:34" ht="84" x14ac:dyDescent="0.25">
      <c r="A20" s="11">
        <v>7</v>
      </c>
      <c r="B20" s="12" t="s">
        <v>172</v>
      </c>
      <c r="C20" s="13" t="s">
        <v>67</v>
      </c>
      <c r="D20" s="14" t="s">
        <v>68</v>
      </c>
      <c r="E20" s="12" t="s">
        <v>49</v>
      </c>
      <c r="F20" s="15" t="s">
        <v>35</v>
      </c>
      <c r="G20" s="16" t="s">
        <v>69</v>
      </c>
      <c r="H20" s="17">
        <v>10500</v>
      </c>
      <c r="I20" s="17">
        <v>500000</v>
      </c>
      <c r="J20" s="17"/>
      <c r="K20" s="12" t="s">
        <v>70</v>
      </c>
      <c r="L20" s="12" t="s">
        <v>39</v>
      </c>
      <c r="M20" s="12" t="s">
        <v>71</v>
      </c>
      <c r="N20" s="18">
        <v>42086</v>
      </c>
      <c r="O20" s="18">
        <v>42154</v>
      </c>
      <c r="P20" s="19">
        <v>1</v>
      </c>
      <c r="Q20" s="19">
        <v>1</v>
      </c>
      <c r="R20" s="19" t="s">
        <v>37</v>
      </c>
      <c r="S20" s="19" t="s">
        <v>72</v>
      </c>
      <c r="T20" s="21">
        <v>42103</v>
      </c>
      <c r="U20" s="12" t="s">
        <v>41</v>
      </c>
      <c r="V20" s="22"/>
      <c r="W20" s="22">
        <v>129000000</v>
      </c>
      <c r="X20" s="22">
        <f>Table33[[#This Row],[Gross Revenue]]</f>
        <v>129000000</v>
      </c>
      <c r="Y20" s="23">
        <v>24</v>
      </c>
      <c r="Z20" s="12" t="s">
        <v>73</v>
      </c>
      <c r="AA20" s="24"/>
      <c r="AB20" s="13" t="s">
        <v>74</v>
      </c>
      <c r="AC20" s="13" t="s">
        <v>58</v>
      </c>
      <c r="AD20" s="13" t="s">
        <v>136</v>
      </c>
      <c r="AE20" s="25" t="s">
        <v>183</v>
      </c>
      <c r="AF20" s="25" t="s">
        <v>178</v>
      </c>
      <c r="AG20" s="25"/>
      <c r="AH20" s="25"/>
    </row>
    <row r="21" spans="1:34" ht="84" x14ac:dyDescent="0.25">
      <c r="A21" s="11">
        <v>8</v>
      </c>
      <c r="B21" s="12" t="s">
        <v>172</v>
      </c>
      <c r="C21" s="13" t="s">
        <v>97</v>
      </c>
      <c r="D21" s="14" t="s">
        <v>98</v>
      </c>
      <c r="E21" s="12" t="s">
        <v>49</v>
      </c>
      <c r="F21" s="15" t="s">
        <v>86</v>
      </c>
      <c r="G21" s="16" t="s">
        <v>50</v>
      </c>
      <c r="H21" s="17" t="s">
        <v>37</v>
      </c>
      <c r="I21" s="17" t="s">
        <v>37</v>
      </c>
      <c r="J21" s="17" t="s">
        <v>87</v>
      </c>
      <c r="K21" s="12" t="s">
        <v>70</v>
      </c>
      <c r="L21" s="12" t="s">
        <v>99</v>
      </c>
      <c r="M21" s="12" t="s">
        <v>100</v>
      </c>
      <c r="N21" s="18" t="s">
        <v>101</v>
      </c>
      <c r="O21" s="18" t="s">
        <v>101</v>
      </c>
      <c r="P21" s="19">
        <v>0.1</v>
      </c>
      <c r="Q21" s="19">
        <v>0.1</v>
      </c>
      <c r="R21" s="19" t="s">
        <v>102</v>
      </c>
      <c r="S21" s="19" t="s">
        <v>103</v>
      </c>
      <c r="T21" s="21"/>
      <c r="U21" s="12" t="s">
        <v>41</v>
      </c>
      <c r="V21" s="22" t="s">
        <v>37</v>
      </c>
      <c r="W21" s="22">
        <v>2500000</v>
      </c>
      <c r="X21" s="22">
        <v>2500000</v>
      </c>
      <c r="Y21" s="23">
        <v>12</v>
      </c>
      <c r="Z21" s="12" t="s">
        <v>104</v>
      </c>
      <c r="AA21" s="24" t="s">
        <v>184</v>
      </c>
      <c r="AB21" s="13" t="s">
        <v>105</v>
      </c>
      <c r="AC21" s="13" t="s">
        <v>58</v>
      </c>
      <c r="AD21" s="13" t="s">
        <v>44</v>
      </c>
      <c r="AE21" s="25" t="s">
        <v>106</v>
      </c>
      <c r="AF21" s="25" t="s">
        <v>46</v>
      </c>
      <c r="AG21" s="25"/>
      <c r="AH21" s="25"/>
    </row>
    <row r="22" spans="1:34" ht="84" x14ac:dyDescent="0.25">
      <c r="A22" s="11">
        <v>9</v>
      </c>
      <c r="B22" s="12" t="s">
        <v>172</v>
      </c>
      <c r="C22" s="13" t="s">
        <v>107</v>
      </c>
      <c r="D22" s="14" t="s">
        <v>98</v>
      </c>
      <c r="E22" s="12" t="s">
        <v>49</v>
      </c>
      <c r="F22" s="15" t="s">
        <v>86</v>
      </c>
      <c r="G22" s="16" t="s">
        <v>50</v>
      </c>
      <c r="H22" s="17" t="s">
        <v>37</v>
      </c>
      <c r="I22" s="17" t="s">
        <v>37</v>
      </c>
      <c r="J22" s="17" t="s">
        <v>87</v>
      </c>
      <c r="K22" s="12" t="s">
        <v>108</v>
      </c>
      <c r="L22" s="12" t="s">
        <v>99</v>
      </c>
      <c r="M22" s="12" t="s">
        <v>100</v>
      </c>
      <c r="N22" s="18" t="s">
        <v>101</v>
      </c>
      <c r="O22" s="18" t="s">
        <v>101</v>
      </c>
      <c r="P22" s="19">
        <v>0.1</v>
      </c>
      <c r="Q22" s="19">
        <v>0.1</v>
      </c>
      <c r="R22" s="19" t="s">
        <v>102</v>
      </c>
      <c r="S22" s="19" t="s">
        <v>103</v>
      </c>
      <c r="T22" s="21"/>
      <c r="U22" s="12" t="s">
        <v>41</v>
      </c>
      <c r="V22" s="22" t="s">
        <v>37</v>
      </c>
      <c r="W22" s="22">
        <v>2500000</v>
      </c>
      <c r="X22" s="22">
        <v>2500000</v>
      </c>
      <c r="Y22" s="23">
        <v>12</v>
      </c>
      <c r="Z22" s="12" t="s">
        <v>104</v>
      </c>
      <c r="AA22" s="24" t="s">
        <v>184</v>
      </c>
      <c r="AB22" s="13" t="s">
        <v>105</v>
      </c>
      <c r="AC22" s="13" t="s">
        <v>58</v>
      </c>
      <c r="AD22" s="13" t="s">
        <v>44</v>
      </c>
      <c r="AE22" s="25" t="s">
        <v>106</v>
      </c>
      <c r="AF22" s="25" t="s">
        <v>46</v>
      </c>
      <c r="AG22" s="25"/>
      <c r="AH22" s="25"/>
    </row>
    <row r="23" spans="1:34" ht="63" x14ac:dyDescent="0.25">
      <c r="A23" s="11">
        <v>10</v>
      </c>
      <c r="B23" s="12" t="s">
        <v>172</v>
      </c>
      <c r="C23" s="13" t="s">
        <v>109</v>
      </c>
      <c r="D23" s="14" t="s">
        <v>98</v>
      </c>
      <c r="E23" s="12" t="s">
        <v>49</v>
      </c>
      <c r="F23" s="15" t="s">
        <v>86</v>
      </c>
      <c r="G23" s="16" t="s">
        <v>50</v>
      </c>
      <c r="H23" s="17">
        <v>5000</v>
      </c>
      <c r="I23" s="17">
        <v>500000</v>
      </c>
      <c r="J23" s="17" t="s">
        <v>87</v>
      </c>
      <c r="K23" s="12" t="s">
        <v>108</v>
      </c>
      <c r="L23" s="12" t="s">
        <v>99</v>
      </c>
      <c r="M23" s="12" t="s">
        <v>100</v>
      </c>
      <c r="N23" s="18">
        <v>41981</v>
      </c>
      <c r="O23" s="18">
        <v>42095</v>
      </c>
      <c r="P23" s="19">
        <v>1</v>
      </c>
      <c r="Q23" s="19">
        <v>0.5</v>
      </c>
      <c r="R23" s="19" t="s">
        <v>102</v>
      </c>
      <c r="S23" s="19" t="s">
        <v>110</v>
      </c>
      <c r="T23" s="21"/>
      <c r="U23" s="12" t="s">
        <v>41</v>
      </c>
      <c r="V23" s="22">
        <v>1230000000</v>
      </c>
      <c r="W23" s="22">
        <f>Table33[[#This Row],[Capital Value]]*0.8*2.2%</f>
        <v>21648000.000000004</v>
      </c>
      <c r="X23" s="22">
        <f>Table33[[#This Row],[Capital Value]]*0.8*2.2%</f>
        <v>21648000.000000004</v>
      </c>
      <c r="Y23" s="23">
        <v>24</v>
      </c>
      <c r="Z23" s="12" t="s">
        <v>111</v>
      </c>
      <c r="AA23" s="24"/>
      <c r="AB23" s="13" t="s">
        <v>112</v>
      </c>
      <c r="AC23" s="13" t="s">
        <v>113</v>
      </c>
      <c r="AD23" s="13" t="s">
        <v>44</v>
      </c>
      <c r="AE23" s="25"/>
      <c r="AF23" s="25" t="s">
        <v>46</v>
      </c>
      <c r="AG23" s="25"/>
      <c r="AH23" s="25"/>
    </row>
    <row r="24" spans="1:34" ht="63" x14ac:dyDescent="0.25">
      <c r="A24" s="11">
        <v>11</v>
      </c>
      <c r="B24" s="12" t="s">
        <v>172</v>
      </c>
      <c r="C24" s="13" t="s">
        <v>114</v>
      </c>
      <c r="D24" s="14" t="s">
        <v>98</v>
      </c>
      <c r="E24" s="12" t="s">
        <v>49</v>
      </c>
      <c r="F24" s="15" t="s">
        <v>86</v>
      </c>
      <c r="G24" s="16" t="s">
        <v>50</v>
      </c>
      <c r="H24" s="17" t="s">
        <v>90</v>
      </c>
      <c r="I24" s="17" t="s">
        <v>90</v>
      </c>
      <c r="J24" s="17" t="s">
        <v>87</v>
      </c>
      <c r="K24" s="12" t="s">
        <v>115</v>
      </c>
      <c r="L24" s="12" t="s">
        <v>99</v>
      </c>
      <c r="M24" s="12" t="s">
        <v>100</v>
      </c>
      <c r="N24" s="18" t="s">
        <v>101</v>
      </c>
      <c r="O24" s="18"/>
      <c r="P24" s="19">
        <v>0.5</v>
      </c>
      <c r="Q24" s="19">
        <v>0.5</v>
      </c>
      <c r="R24" s="19"/>
      <c r="S24" s="19" t="s">
        <v>116</v>
      </c>
      <c r="T24" s="21"/>
      <c r="U24" s="12" t="s">
        <v>41</v>
      </c>
      <c r="V24" s="22"/>
      <c r="W24" s="22">
        <v>5000000</v>
      </c>
      <c r="X24" s="22">
        <v>5000000</v>
      </c>
      <c r="Y24" s="23">
        <v>36</v>
      </c>
      <c r="Z24" s="12" t="s">
        <v>111</v>
      </c>
      <c r="AA24" s="24" t="s">
        <v>184</v>
      </c>
      <c r="AB24" s="13" t="s">
        <v>112</v>
      </c>
      <c r="AC24" s="13" t="s">
        <v>58</v>
      </c>
      <c r="AD24" s="13" t="s">
        <v>117</v>
      </c>
      <c r="AE24" s="25"/>
      <c r="AF24" s="25" t="s">
        <v>46</v>
      </c>
      <c r="AG24" s="25"/>
      <c r="AH24" s="25"/>
    </row>
    <row r="25" spans="1:34" ht="63" x14ac:dyDescent="0.25">
      <c r="A25" s="11">
        <v>12</v>
      </c>
      <c r="B25" s="12" t="s">
        <v>172</v>
      </c>
      <c r="C25" s="13" t="s">
        <v>118</v>
      </c>
      <c r="D25" s="14" t="s">
        <v>98</v>
      </c>
      <c r="E25" s="12" t="s">
        <v>49</v>
      </c>
      <c r="F25" s="15" t="s">
        <v>86</v>
      </c>
      <c r="G25" s="16" t="s">
        <v>50</v>
      </c>
      <c r="H25" s="17" t="s">
        <v>90</v>
      </c>
      <c r="I25" s="17" t="s">
        <v>90</v>
      </c>
      <c r="J25" s="17" t="s">
        <v>87</v>
      </c>
      <c r="K25" s="12" t="s">
        <v>108</v>
      </c>
      <c r="L25" s="12" t="s">
        <v>99</v>
      </c>
      <c r="M25" s="12" t="s">
        <v>119</v>
      </c>
      <c r="N25" s="18"/>
      <c r="O25" s="18"/>
      <c r="P25" s="19"/>
      <c r="Q25" s="19"/>
      <c r="R25" s="19"/>
      <c r="S25" s="19" t="s">
        <v>116</v>
      </c>
      <c r="T25" s="21"/>
      <c r="U25" s="12" t="s">
        <v>41</v>
      </c>
      <c r="V25" s="22"/>
      <c r="W25" s="22"/>
      <c r="X25" s="22">
        <v>22000000</v>
      </c>
      <c r="Y25" s="23">
        <v>36</v>
      </c>
      <c r="Z25" s="12" t="s">
        <v>111</v>
      </c>
      <c r="AA25" s="24"/>
      <c r="AB25" s="13"/>
      <c r="AC25" s="13" t="s">
        <v>58</v>
      </c>
      <c r="AD25" s="13" t="s">
        <v>117</v>
      </c>
      <c r="AE25" s="25"/>
      <c r="AF25" s="25" t="s">
        <v>46</v>
      </c>
      <c r="AG25" s="25"/>
      <c r="AH25" s="25"/>
    </row>
    <row r="26" spans="1:34" ht="42" x14ac:dyDescent="0.25">
      <c r="A26" s="11">
        <v>13</v>
      </c>
      <c r="B26" s="12" t="s">
        <v>172</v>
      </c>
      <c r="C26" s="13" t="s">
        <v>120</v>
      </c>
      <c r="D26" s="14" t="s">
        <v>121</v>
      </c>
      <c r="E26" s="12" t="s">
        <v>122</v>
      </c>
      <c r="F26" s="15" t="s">
        <v>86</v>
      </c>
      <c r="G26" s="16" t="s">
        <v>69</v>
      </c>
      <c r="H26" s="17" t="s">
        <v>37</v>
      </c>
      <c r="I26" s="17" t="s">
        <v>37</v>
      </c>
      <c r="J26" s="17"/>
      <c r="K26" s="12" t="s">
        <v>123</v>
      </c>
      <c r="L26" s="12" t="s">
        <v>124</v>
      </c>
      <c r="M26" s="12" t="s">
        <v>125</v>
      </c>
      <c r="N26" s="18"/>
      <c r="O26" s="18"/>
      <c r="P26" s="19">
        <v>0.5</v>
      </c>
      <c r="Q26" s="19">
        <v>0.5</v>
      </c>
      <c r="R26" s="19"/>
      <c r="S26" s="19" t="s">
        <v>126</v>
      </c>
      <c r="T26" s="21"/>
      <c r="U26" s="12" t="s">
        <v>41</v>
      </c>
      <c r="V26" s="22">
        <v>350000000</v>
      </c>
      <c r="W26" s="22">
        <v>8000000</v>
      </c>
      <c r="X26" s="22">
        <v>8000000</v>
      </c>
      <c r="Y26" s="23">
        <v>24</v>
      </c>
      <c r="Z26" s="12" t="s">
        <v>121</v>
      </c>
      <c r="AA26" s="24"/>
      <c r="AB26" s="13"/>
      <c r="AC26" s="13" t="s">
        <v>58</v>
      </c>
      <c r="AD26" s="13" t="s">
        <v>127</v>
      </c>
      <c r="AE26" s="25" t="s">
        <v>128</v>
      </c>
      <c r="AF26" s="25" t="s">
        <v>46</v>
      </c>
      <c r="AG26" s="25" t="s">
        <v>129</v>
      </c>
      <c r="AH26" s="25"/>
    </row>
    <row r="27" spans="1:34" ht="84" x14ac:dyDescent="0.25">
      <c r="A27" s="11">
        <v>14</v>
      </c>
      <c r="B27" s="12" t="s">
        <v>172</v>
      </c>
      <c r="C27" s="13" t="s">
        <v>130</v>
      </c>
      <c r="D27" s="14" t="s">
        <v>131</v>
      </c>
      <c r="E27" s="12" t="s">
        <v>49</v>
      </c>
      <c r="F27" s="15" t="s">
        <v>86</v>
      </c>
      <c r="G27" s="16" t="s">
        <v>69</v>
      </c>
      <c r="H27" s="17" t="s">
        <v>90</v>
      </c>
      <c r="I27" s="17" t="s">
        <v>90</v>
      </c>
      <c r="J27" s="17"/>
      <c r="K27" s="12" t="s">
        <v>132</v>
      </c>
      <c r="L27" s="12" t="s">
        <v>133</v>
      </c>
      <c r="M27" s="12" t="s">
        <v>134</v>
      </c>
      <c r="N27" s="18"/>
      <c r="O27" s="18"/>
      <c r="P27" s="19">
        <v>1</v>
      </c>
      <c r="Q27" s="19">
        <v>0.5</v>
      </c>
      <c r="R27" s="19"/>
      <c r="S27" s="19" t="s">
        <v>126</v>
      </c>
      <c r="T27" s="21"/>
      <c r="U27" s="12" t="s">
        <v>41</v>
      </c>
      <c r="V27" s="22">
        <v>1200000000</v>
      </c>
      <c r="W27" s="22">
        <v>400000000</v>
      </c>
      <c r="X27" s="22">
        <f>Table33[[#This Row],[Gross Revenue]]</f>
        <v>400000000</v>
      </c>
      <c r="Y27" s="23">
        <v>60</v>
      </c>
      <c r="Z27" s="12" t="s">
        <v>135</v>
      </c>
      <c r="AA27" s="24"/>
      <c r="AB27" s="13"/>
      <c r="AC27" s="13" t="s">
        <v>58</v>
      </c>
      <c r="AD27" s="13" t="s">
        <v>136</v>
      </c>
      <c r="AE27" s="25" t="s">
        <v>137</v>
      </c>
      <c r="AF27" s="25" t="s">
        <v>147</v>
      </c>
      <c r="AG27" s="25" t="s">
        <v>138</v>
      </c>
      <c r="AH27" s="25"/>
    </row>
    <row r="28" spans="1:34" ht="63" x14ac:dyDescent="0.25">
      <c r="A28" s="11">
        <v>15</v>
      </c>
      <c r="B28" s="12" t="s">
        <v>172</v>
      </c>
      <c r="C28" s="13" t="s">
        <v>139</v>
      </c>
      <c r="D28" s="14" t="s">
        <v>140</v>
      </c>
      <c r="E28" s="12" t="s">
        <v>141</v>
      </c>
      <c r="F28" s="15" t="s">
        <v>86</v>
      </c>
      <c r="G28" s="16" t="s">
        <v>69</v>
      </c>
      <c r="H28" s="17">
        <v>10000</v>
      </c>
      <c r="I28" s="17">
        <v>100000</v>
      </c>
      <c r="J28" s="17" t="s">
        <v>87</v>
      </c>
      <c r="K28" s="12" t="s">
        <v>142</v>
      </c>
      <c r="L28" s="12" t="s">
        <v>143</v>
      </c>
      <c r="M28" s="12"/>
      <c r="N28" s="18">
        <v>42094</v>
      </c>
      <c r="O28" s="18"/>
      <c r="P28" s="19">
        <v>1</v>
      </c>
      <c r="Q28" s="19">
        <v>0.2</v>
      </c>
      <c r="R28" s="19" t="s">
        <v>144</v>
      </c>
      <c r="S28" s="19" t="s">
        <v>145</v>
      </c>
      <c r="T28" s="21"/>
      <c r="U28" s="12" t="s">
        <v>41</v>
      </c>
      <c r="V28" s="22">
        <v>4000000000</v>
      </c>
      <c r="W28" s="22">
        <v>25000000</v>
      </c>
      <c r="X28" s="22">
        <f>Table33[[#This Row],[Gross Revenue]]</f>
        <v>25000000</v>
      </c>
      <c r="Y28" s="23">
        <v>6</v>
      </c>
      <c r="Z28" s="12" t="s">
        <v>140</v>
      </c>
      <c r="AA28" s="24"/>
      <c r="AB28" s="13"/>
      <c r="AC28" s="13" t="s">
        <v>58</v>
      </c>
      <c r="AD28" s="13" t="s">
        <v>136</v>
      </c>
      <c r="AE28" s="25" t="s">
        <v>146</v>
      </c>
      <c r="AF28" s="25" t="s">
        <v>147</v>
      </c>
      <c r="AG28" s="25" t="s">
        <v>148</v>
      </c>
      <c r="AH28" s="25"/>
    </row>
    <row r="29" spans="1:34" ht="105" x14ac:dyDescent="0.25">
      <c r="A29" s="11">
        <v>16</v>
      </c>
      <c r="B29" s="12" t="s">
        <v>172</v>
      </c>
      <c r="C29" s="13" t="s">
        <v>149</v>
      </c>
      <c r="D29" s="14" t="s">
        <v>150</v>
      </c>
      <c r="E29" s="12" t="s">
        <v>141</v>
      </c>
      <c r="F29" s="15" t="s">
        <v>86</v>
      </c>
      <c r="G29" s="16" t="s">
        <v>69</v>
      </c>
      <c r="H29" s="17" t="s">
        <v>37</v>
      </c>
      <c r="I29" s="17" t="s">
        <v>37</v>
      </c>
      <c r="J29" s="17" t="s">
        <v>87</v>
      </c>
      <c r="K29" s="12" t="s">
        <v>142</v>
      </c>
      <c r="L29" s="12" t="s">
        <v>143</v>
      </c>
      <c r="M29" s="12" t="s">
        <v>185</v>
      </c>
      <c r="N29" s="18">
        <v>42094</v>
      </c>
      <c r="O29" s="18"/>
      <c r="P29" s="19">
        <v>1</v>
      </c>
      <c r="Q29" s="19">
        <v>0.2</v>
      </c>
      <c r="R29" s="19" t="s">
        <v>144</v>
      </c>
      <c r="S29" s="19" t="s">
        <v>145</v>
      </c>
      <c r="T29" s="21"/>
      <c r="U29" s="12" t="s">
        <v>41</v>
      </c>
      <c r="V29" s="22">
        <v>4000000000</v>
      </c>
      <c r="W29" s="22">
        <v>2500000</v>
      </c>
      <c r="X29" s="22">
        <f>Table33[[#This Row],[Gross Revenue]]</f>
        <v>2500000</v>
      </c>
      <c r="Y29" s="23">
        <v>6</v>
      </c>
      <c r="Z29" s="12" t="s">
        <v>150</v>
      </c>
      <c r="AA29" s="24"/>
      <c r="AB29" s="13"/>
      <c r="AC29" s="13" t="s">
        <v>58</v>
      </c>
      <c r="AD29" s="13" t="s">
        <v>136</v>
      </c>
      <c r="AE29" s="25" t="s">
        <v>146</v>
      </c>
      <c r="AF29" s="25" t="s">
        <v>186</v>
      </c>
      <c r="AG29" s="25" t="s">
        <v>187</v>
      </c>
      <c r="AH29" s="25"/>
    </row>
    <row r="30" spans="1:34" ht="168" x14ac:dyDescent="0.25">
      <c r="A30" s="11">
        <v>17</v>
      </c>
      <c r="B30" s="12" t="s">
        <v>172</v>
      </c>
      <c r="C30" s="13" t="s">
        <v>151</v>
      </c>
      <c r="D30" s="14" t="s">
        <v>152</v>
      </c>
      <c r="E30" s="12" t="s">
        <v>122</v>
      </c>
      <c r="F30" s="15" t="s">
        <v>153</v>
      </c>
      <c r="G30" s="16" t="s">
        <v>36</v>
      </c>
      <c r="H30" s="17" t="s">
        <v>90</v>
      </c>
      <c r="I30" s="17" t="s">
        <v>90</v>
      </c>
      <c r="J30" s="17" t="s">
        <v>37</v>
      </c>
      <c r="K30" s="12" t="s">
        <v>123</v>
      </c>
      <c r="L30" s="12" t="s">
        <v>39</v>
      </c>
      <c r="M30" s="12" t="s">
        <v>154</v>
      </c>
      <c r="N30" s="18">
        <v>41922</v>
      </c>
      <c r="O30" s="18">
        <v>42278</v>
      </c>
      <c r="P30" s="19">
        <v>0.5</v>
      </c>
      <c r="Q30" s="19">
        <v>0.1</v>
      </c>
      <c r="R30" s="19" t="s">
        <v>37</v>
      </c>
      <c r="S30" s="19"/>
      <c r="T30" s="21"/>
      <c r="U30" s="12" t="s">
        <v>41</v>
      </c>
      <c r="V30" s="22">
        <v>8000000000</v>
      </c>
      <c r="W30" s="22">
        <v>5000000</v>
      </c>
      <c r="X30" s="22">
        <f>Table33[[#This Row],[Gross Revenue]]</f>
        <v>5000000</v>
      </c>
      <c r="Y30" s="23">
        <v>18</v>
      </c>
      <c r="Z30" s="12" t="s">
        <v>73</v>
      </c>
      <c r="AA30" s="24"/>
      <c r="AB30" s="13" t="s">
        <v>155</v>
      </c>
      <c r="AC30" s="13" t="s">
        <v>58</v>
      </c>
      <c r="AD30" s="13" t="s">
        <v>37</v>
      </c>
      <c r="AE30" s="25" t="s">
        <v>156</v>
      </c>
      <c r="AF30" s="25"/>
      <c r="AG30" s="25" t="s">
        <v>157</v>
      </c>
      <c r="AH30" s="28">
        <v>42095</v>
      </c>
    </row>
    <row r="31" spans="1:34" ht="105" x14ac:dyDescent="0.25">
      <c r="A31" s="11">
        <v>18</v>
      </c>
      <c r="B31" s="12" t="s">
        <v>172</v>
      </c>
      <c r="C31" s="13" t="s">
        <v>158</v>
      </c>
      <c r="D31" s="14" t="s">
        <v>68</v>
      </c>
      <c r="E31" s="12" t="s">
        <v>49</v>
      </c>
      <c r="F31" s="15" t="s">
        <v>153</v>
      </c>
      <c r="G31" s="16" t="s">
        <v>69</v>
      </c>
      <c r="H31" s="17" t="s">
        <v>90</v>
      </c>
      <c r="I31" s="17" t="s">
        <v>90</v>
      </c>
      <c r="J31" s="17" t="s">
        <v>37</v>
      </c>
      <c r="K31" s="12" t="s">
        <v>123</v>
      </c>
      <c r="L31" s="12" t="s">
        <v>39</v>
      </c>
      <c r="M31" s="12" t="s">
        <v>159</v>
      </c>
      <c r="N31" s="18"/>
      <c r="O31" s="18"/>
      <c r="P31" s="19">
        <v>1</v>
      </c>
      <c r="Q31" s="19">
        <v>0.25</v>
      </c>
      <c r="R31" s="19" t="s">
        <v>175</v>
      </c>
      <c r="S31" s="19" t="s">
        <v>116</v>
      </c>
      <c r="T31" s="21"/>
      <c r="U31" s="12" t="s">
        <v>41</v>
      </c>
      <c r="V31" s="22">
        <v>1000000000</v>
      </c>
      <c r="W31" s="22">
        <f>Table33[[#This Row],[Capital Value]]*2%</f>
        <v>20000000</v>
      </c>
      <c r="X31" s="22">
        <f>Table33[[#This Row],[Gross Revenue]]</f>
        <v>20000000</v>
      </c>
      <c r="Y31" s="23">
        <v>36</v>
      </c>
      <c r="Z31" s="12" t="s">
        <v>73</v>
      </c>
      <c r="AA31" s="24"/>
      <c r="AB31" s="13" t="s">
        <v>160</v>
      </c>
      <c r="AC31" s="13" t="s">
        <v>58</v>
      </c>
      <c r="AD31" s="13" t="s">
        <v>117</v>
      </c>
      <c r="AE31" s="25" t="s">
        <v>161</v>
      </c>
      <c r="AF31" s="25"/>
      <c r="AG31" s="25"/>
      <c r="AH31" s="25"/>
    </row>
    <row r="32" spans="1:34" ht="105" x14ac:dyDescent="0.25">
      <c r="A32" s="11">
        <v>19</v>
      </c>
      <c r="B32" s="12" t="s">
        <v>172</v>
      </c>
      <c r="C32" s="13" t="s">
        <v>162</v>
      </c>
      <c r="D32" s="14" t="s">
        <v>68</v>
      </c>
      <c r="E32" s="12" t="s">
        <v>49</v>
      </c>
      <c r="F32" s="15" t="s">
        <v>153</v>
      </c>
      <c r="G32" s="16" t="s">
        <v>69</v>
      </c>
      <c r="H32" s="17" t="s">
        <v>90</v>
      </c>
      <c r="I32" s="17" t="s">
        <v>90</v>
      </c>
      <c r="J32" s="17" t="s">
        <v>37</v>
      </c>
      <c r="K32" s="12" t="s">
        <v>123</v>
      </c>
      <c r="L32" s="12" t="s">
        <v>39</v>
      </c>
      <c r="M32" s="12" t="s">
        <v>159</v>
      </c>
      <c r="N32" s="18"/>
      <c r="O32" s="18"/>
      <c r="P32" s="19">
        <v>1</v>
      </c>
      <c r="Q32" s="19">
        <v>0</v>
      </c>
      <c r="R32" s="19" t="s">
        <v>175</v>
      </c>
      <c r="S32" s="19" t="s">
        <v>116</v>
      </c>
      <c r="T32" s="21"/>
      <c r="U32" s="12" t="s">
        <v>41</v>
      </c>
      <c r="V32" s="22">
        <v>1750000000</v>
      </c>
      <c r="W32" s="22">
        <f>Table33[[#This Row],[Capital Value]]*2%</f>
        <v>35000000</v>
      </c>
      <c r="X32" s="22">
        <f>Table33[[#This Row],[Gross Revenue]]</f>
        <v>35000000</v>
      </c>
      <c r="Y32" s="23">
        <v>36</v>
      </c>
      <c r="Z32" s="12" t="s">
        <v>73</v>
      </c>
      <c r="AA32" s="24"/>
      <c r="AB32" s="13" t="s">
        <v>160</v>
      </c>
      <c r="AC32" s="13" t="s">
        <v>58</v>
      </c>
      <c r="AD32" s="13" t="s">
        <v>117</v>
      </c>
      <c r="AE32" s="25" t="s">
        <v>161</v>
      </c>
      <c r="AF32" s="25"/>
      <c r="AG32" s="25"/>
      <c r="AH32" s="25"/>
    </row>
    <row r="33" spans="1:34" ht="105" x14ac:dyDescent="0.25">
      <c r="A33" s="11">
        <v>20</v>
      </c>
      <c r="B33" s="12" t="s">
        <v>172</v>
      </c>
      <c r="C33" s="13" t="s">
        <v>163</v>
      </c>
      <c r="D33" s="14" t="s">
        <v>68</v>
      </c>
      <c r="E33" s="12" t="s">
        <v>49</v>
      </c>
      <c r="F33" s="15" t="s">
        <v>153</v>
      </c>
      <c r="G33" s="16" t="s">
        <v>69</v>
      </c>
      <c r="H33" s="17" t="s">
        <v>90</v>
      </c>
      <c r="I33" s="17" t="s">
        <v>90</v>
      </c>
      <c r="J33" s="17" t="s">
        <v>37</v>
      </c>
      <c r="K33" s="12" t="s">
        <v>123</v>
      </c>
      <c r="L33" s="12" t="s">
        <v>39</v>
      </c>
      <c r="M33" s="12" t="s">
        <v>159</v>
      </c>
      <c r="N33" s="18"/>
      <c r="O33" s="18"/>
      <c r="P33" s="19">
        <v>1</v>
      </c>
      <c r="Q33" s="19">
        <v>0</v>
      </c>
      <c r="R33" s="19" t="s">
        <v>175</v>
      </c>
      <c r="S33" s="19" t="s">
        <v>116</v>
      </c>
      <c r="T33" s="21"/>
      <c r="U33" s="12" t="s">
        <v>41</v>
      </c>
      <c r="V33" s="22">
        <v>1750000000</v>
      </c>
      <c r="W33" s="22">
        <f>Table33[[#This Row],[Capital Value]]*2%</f>
        <v>35000000</v>
      </c>
      <c r="X33" s="22">
        <f>Table33[[#This Row],[Gross Revenue]]</f>
        <v>35000000</v>
      </c>
      <c r="Y33" s="23">
        <v>36</v>
      </c>
      <c r="Z33" s="12" t="s">
        <v>73</v>
      </c>
      <c r="AA33" s="24"/>
      <c r="AB33" s="13" t="s">
        <v>160</v>
      </c>
      <c r="AC33" s="13" t="s">
        <v>58</v>
      </c>
      <c r="AD33" s="13" t="s">
        <v>117</v>
      </c>
      <c r="AE33" s="25" t="s">
        <v>161</v>
      </c>
      <c r="AF33" s="25"/>
      <c r="AG33" s="25"/>
      <c r="AH33" s="25"/>
    </row>
    <row r="34" spans="1:34" ht="63" x14ac:dyDescent="0.25">
      <c r="A34" s="11">
        <v>21</v>
      </c>
      <c r="B34" s="12" t="s">
        <v>172</v>
      </c>
      <c r="C34" s="13" t="s">
        <v>164</v>
      </c>
      <c r="D34" s="14" t="s">
        <v>68</v>
      </c>
      <c r="E34" s="12" t="s">
        <v>49</v>
      </c>
      <c r="F34" s="15" t="s">
        <v>153</v>
      </c>
      <c r="G34" s="16" t="s">
        <v>69</v>
      </c>
      <c r="H34" s="17" t="s">
        <v>90</v>
      </c>
      <c r="I34" s="17" t="s">
        <v>90</v>
      </c>
      <c r="J34" s="17" t="s">
        <v>37</v>
      </c>
      <c r="K34" s="12" t="s">
        <v>108</v>
      </c>
      <c r="L34" s="12" t="s">
        <v>39</v>
      </c>
      <c r="M34" s="12" t="s">
        <v>159</v>
      </c>
      <c r="N34" s="18"/>
      <c r="O34" s="18"/>
      <c r="P34" s="19">
        <v>0.8</v>
      </c>
      <c r="Q34" s="19">
        <v>0.25</v>
      </c>
      <c r="R34" s="19" t="s">
        <v>175</v>
      </c>
      <c r="S34" s="19" t="s">
        <v>116</v>
      </c>
      <c r="T34" s="21"/>
      <c r="U34" s="12" t="s">
        <v>41</v>
      </c>
      <c r="V34" s="22">
        <v>4500000000</v>
      </c>
      <c r="W34" s="22">
        <f>Table33[[#This Row],[Capital Value]]*1.5%</f>
        <v>67500000</v>
      </c>
      <c r="X34" s="22">
        <f>Table33[[#This Row],[Gross Revenue]]</f>
        <v>67500000</v>
      </c>
      <c r="Y34" s="23">
        <v>36</v>
      </c>
      <c r="Z34" s="12" t="s">
        <v>73</v>
      </c>
      <c r="AA34" s="24"/>
      <c r="AB34" s="13"/>
      <c r="AC34" s="13" t="s">
        <v>58</v>
      </c>
      <c r="AD34" s="13" t="s">
        <v>117</v>
      </c>
      <c r="AE34" s="25" t="s">
        <v>188</v>
      </c>
      <c r="AF34" s="25"/>
      <c r="AG34" s="25"/>
      <c r="AH34" s="25"/>
    </row>
    <row r="35" spans="1:34" ht="63" x14ac:dyDescent="0.25">
      <c r="A35" s="11">
        <v>22</v>
      </c>
      <c r="B35" s="12" t="s">
        <v>172</v>
      </c>
      <c r="C35" s="13" t="s">
        <v>165</v>
      </c>
      <c r="D35" s="14" t="s">
        <v>68</v>
      </c>
      <c r="E35" s="12" t="s">
        <v>49</v>
      </c>
      <c r="F35" s="15" t="s">
        <v>153</v>
      </c>
      <c r="G35" s="16" t="s">
        <v>69</v>
      </c>
      <c r="H35" s="17" t="s">
        <v>90</v>
      </c>
      <c r="I35" s="17" t="s">
        <v>90</v>
      </c>
      <c r="J35" s="17" t="s">
        <v>37</v>
      </c>
      <c r="K35" s="12" t="s">
        <v>108</v>
      </c>
      <c r="L35" s="12" t="s">
        <v>39</v>
      </c>
      <c r="M35" s="12" t="s">
        <v>159</v>
      </c>
      <c r="N35" s="18"/>
      <c r="O35" s="18"/>
      <c r="P35" s="19">
        <v>0.8</v>
      </c>
      <c r="Q35" s="19">
        <v>0.25</v>
      </c>
      <c r="R35" s="19" t="s">
        <v>175</v>
      </c>
      <c r="S35" s="19" t="s">
        <v>116</v>
      </c>
      <c r="T35" s="21"/>
      <c r="U35" s="12" t="s">
        <v>41</v>
      </c>
      <c r="V35" s="22">
        <v>4000000000</v>
      </c>
      <c r="W35" s="22">
        <f>+Table33[[#This Row],[Capital Value]]*2%</f>
        <v>80000000</v>
      </c>
      <c r="X35" s="22">
        <f>Table33[[#This Row],[Gross Revenue]]</f>
        <v>80000000</v>
      </c>
      <c r="Y35" s="23">
        <v>36</v>
      </c>
      <c r="Z35" s="12" t="s">
        <v>73</v>
      </c>
      <c r="AA35" s="24"/>
      <c r="AB35" s="13"/>
      <c r="AC35" s="13" t="s">
        <v>58</v>
      </c>
      <c r="AD35" s="13" t="s">
        <v>117</v>
      </c>
      <c r="AE35" s="25" t="s">
        <v>188</v>
      </c>
      <c r="AF35" s="25"/>
      <c r="AG35" s="25"/>
      <c r="AH35" s="25"/>
    </row>
    <row r="36" spans="1:34" x14ac:dyDescent="0.25">
      <c r="B36" s="29"/>
      <c r="C36" s="30"/>
      <c r="D36" s="31"/>
      <c r="E36" s="29"/>
      <c r="F36" s="32"/>
      <c r="G36" s="33"/>
      <c r="H36" s="34"/>
      <c r="I36" s="34"/>
      <c r="J36" s="34"/>
      <c r="K36" s="29"/>
      <c r="L36" s="29"/>
      <c r="M36" s="29"/>
      <c r="N36" s="35"/>
      <c r="O36" s="35"/>
      <c r="P36" s="36"/>
      <c r="Q36" s="36"/>
      <c r="R36" s="36"/>
      <c r="S36" s="36"/>
      <c r="T36" s="37"/>
      <c r="U36" s="29"/>
      <c r="V36" s="38"/>
      <c r="W36" s="39">
        <f>SUM(W30:W35)</f>
        <v>242500000</v>
      </c>
      <c r="X36" s="39">
        <f>SUM(X30:X35)</f>
        <v>242500000</v>
      </c>
      <c r="Y36" s="40"/>
      <c r="Z36" s="29"/>
      <c r="AA36" s="41"/>
      <c r="AB36" s="30"/>
      <c r="AC36" s="30"/>
      <c r="AD36" s="30"/>
      <c r="AE36" s="42"/>
      <c r="AF36" s="42"/>
      <c r="AG36" s="42"/>
      <c r="AH36" s="42"/>
    </row>
    <row r="50" spans="2:3" x14ac:dyDescent="0.35">
      <c r="B50" s="2" t="s">
        <v>35</v>
      </c>
      <c r="C50" s="2" t="s">
        <v>167</v>
      </c>
    </row>
    <row r="51" spans="2:3" x14ac:dyDescent="0.35">
      <c r="B51" s="2" t="s">
        <v>86</v>
      </c>
      <c r="C51" s="2" t="s">
        <v>168</v>
      </c>
    </row>
    <row r="52" spans="2:3" x14ac:dyDescent="0.35">
      <c r="B52" s="2" t="s">
        <v>169</v>
      </c>
      <c r="C52" s="2" t="s">
        <v>170</v>
      </c>
    </row>
    <row r="53" spans="2:3" ht="42" x14ac:dyDescent="0.35">
      <c r="B53" s="2" t="s">
        <v>153</v>
      </c>
      <c r="C53" s="2" t="s">
        <v>171</v>
      </c>
    </row>
  </sheetData>
  <mergeCells count="1">
    <mergeCell ref="A11:AD11"/>
  </mergeCells>
  <pageMargins left="0.7" right="0.7" top="0.75" bottom="0.75" header="0.3" footer="0.3"/>
  <pageSetup paperSize="9" scale="24" fitToHeight="0" orientation="landscape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Revised Chase List</vt:lpstr>
      <vt:lpstr>'Revised Chase List'!Print_Titles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 Pimputkar</dc:creator>
  <cp:lastModifiedBy>Manasi_13122016_Comments</cp:lastModifiedBy>
  <cp:lastPrinted>2017-01-05T06:27:23Z</cp:lastPrinted>
  <dcterms:created xsi:type="dcterms:W3CDTF">2015-04-13T10:32:17Z</dcterms:created>
  <dcterms:modified xsi:type="dcterms:W3CDTF">2017-01-06T08:33:37Z</dcterms:modified>
</cp:coreProperties>
</file>