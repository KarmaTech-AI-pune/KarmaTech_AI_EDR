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60" windowWidth="14640" windowHeight="8970"/>
  </bookViews>
  <sheets>
    <sheet name="WBS2" sheetId="1" r:id="rId1"/>
  </sheets>
  <externalReferences>
    <externalReference r:id="rId2"/>
  </externalReferences>
  <definedNames>
    <definedName name="_xlnm._FilterDatabase" localSheetId="0" hidden="1">'WBS2'!$C$24:$I$47</definedName>
    <definedName name="Version">[1]NAVIGATION!$AE$3</definedName>
    <definedName name="VersionDate">[1]NAVIGATION!$AF$3</definedName>
    <definedName name="YesNoNA">[1]INSTRUCTIONS!$Z$3:$Z$6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49" i="1" l="1"/>
  <c r="T49" i="1"/>
  <c r="S49" i="1"/>
  <c r="R49" i="1"/>
  <c r="Q49" i="1"/>
  <c r="P49" i="1"/>
  <c r="O49" i="1"/>
  <c r="N49" i="1"/>
  <c r="M49" i="1"/>
  <c r="L49" i="1"/>
  <c r="K49" i="1"/>
  <c r="J49" i="1"/>
  <c r="X48" i="1"/>
  <c r="U48" i="1"/>
  <c r="T48" i="1"/>
  <c r="S48" i="1"/>
  <c r="R48" i="1"/>
  <c r="Q48" i="1"/>
  <c r="P48" i="1"/>
  <c r="O48" i="1"/>
  <c r="N48" i="1"/>
  <c r="M48" i="1"/>
  <c r="L48" i="1"/>
  <c r="K48" i="1"/>
  <c r="J48" i="1"/>
  <c r="V47" i="1"/>
  <c r="W47" i="1" s="1"/>
  <c r="Y47" i="1" s="1"/>
  <c r="V46" i="1"/>
  <c r="W46" i="1" s="1"/>
  <c r="Y46" i="1" s="1"/>
  <c r="V45" i="1"/>
  <c r="V44" i="1"/>
  <c r="V43" i="1"/>
  <c r="W43" i="1" s="1"/>
  <c r="Y43" i="1" s="1"/>
  <c r="V42" i="1"/>
  <c r="W42" i="1" s="1"/>
  <c r="Y42" i="1" s="1"/>
  <c r="V41" i="1"/>
  <c r="W41" i="1" s="1"/>
  <c r="Y41" i="1" s="1"/>
  <c r="V40" i="1"/>
  <c r="W40" i="1" s="1"/>
  <c r="Y40" i="1" s="1"/>
  <c r="V39" i="1"/>
  <c r="V38" i="1"/>
  <c r="V37" i="1"/>
  <c r="W37" i="1" s="1"/>
  <c r="Y37" i="1" s="1"/>
  <c r="V36" i="1"/>
  <c r="W36" i="1" s="1"/>
  <c r="Y36" i="1" s="1"/>
  <c r="V35" i="1"/>
  <c r="W35" i="1" s="1"/>
  <c r="Y35" i="1" s="1"/>
  <c r="V34" i="1"/>
  <c r="V33" i="1"/>
  <c r="V32" i="1"/>
  <c r="V31" i="1"/>
  <c r="W31" i="1" s="1"/>
  <c r="Y31" i="1" s="1"/>
  <c r="V30" i="1"/>
  <c r="W30" i="1" s="1"/>
  <c r="Y30" i="1" s="1"/>
  <c r="V29" i="1"/>
  <c r="V28" i="1"/>
  <c r="W28" i="1" s="1"/>
  <c r="Y28" i="1" s="1"/>
  <c r="V27" i="1"/>
  <c r="W27" i="1" s="1"/>
  <c r="V25" i="1"/>
  <c r="W25" i="1" s="1"/>
  <c r="Y25" i="1" s="1"/>
  <c r="K23" i="1"/>
  <c r="L23" i="1" s="1"/>
  <c r="M23" i="1" s="1"/>
  <c r="N23" i="1" s="1"/>
  <c r="O23" i="1" s="1"/>
  <c r="P23" i="1" s="1"/>
  <c r="Q23" i="1" s="1"/>
  <c r="R23" i="1" s="1"/>
  <c r="S23" i="1" s="1"/>
  <c r="T23" i="1" s="1"/>
  <c r="U23" i="1" s="1"/>
  <c r="W49" i="1" l="1"/>
  <c r="V48" i="1"/>
  <c r="Y27" i="1"/>
  <c r="Y48" i="1" s="1"/>
  <c r="W48" i="1"/>
  <c r="W50" i="1" l="1"/>
  <c r="Y49" i="1"/>
  <c r="Y50" i="1" s="1"/>
</calcChain>
</file>

<file path=xl/comments1.xml><?xml version="1.0" encoding="utf-8"?>
<comments xmlns="http://schemas.openxmlformats.org/spreadsheetml/2006/main">
  <authors>
    <author>Alder</author>
  </authors>
  <commentList>
    <comment ref="C24" authorId="0">
      <text>
        <r>
          <rPr>
            <b/>
            <sz val="8"/>
            <color indexed="81"/>
            <rFont val="Tahoma"/>
            <family val="2"/>
          </rPr>
          <t>Add Level 1 activities in this column</t>
        </r>
      </text>
    </comment>
    <comment ref="D24" authorId="0">
      <text>
        <r>
          <rPr>
            <b/>
            <sz val="8"/>
            <color indexed="81"/>
            <rFont val="Tahoma"/>
            <family val="2"/>
          </rPr>
          <t>Add Level 2 activities in this column</t>
        </r>
      </text>
    </comment>
    <comment ref="E24" authorId="0">
      <text>
        <r>
          <rPr>
            <b/>
            <sz val="8"/>
            <color indexed="81"/>
            <rFont val="Tahoma"/>
            <family val="2"/>
          </rPr>
          <t>Add Level 3 activities in this column</t>
        </r>
      </text>
    </comment>
  </commentList>
</comments>
</file>

<file path=xl/sharedStrings.xml><?xml version="1.0" encoding="utf-8"?>
<sst xmlns="http://schemas.openxmlformats.org/spreadsheetml/2006/main" count="116" uniqueCount="68">
  <si>
    <t>Manasi Bapat</t>
  </si>
  <si>
    <t>SPM</t>
  </si>
  <si>
    <t>Mandar Pimputkar</t>
  </si>
  <si>
    <t>WORK BREAKDOWN STRUCTURE</t>
  </si>
  <si>
    <t>Resource (Hours budgeted)</t>
  </si>
  <si>
    <t>WBS Levels</t>
  </si>
  <si>
    <t>Total</t>
  </si>
  <si>
    <t>ODCs</t>
  </si>
  <si>
    <t>Level 1</t>
  </si>
  <si>
    <t>Level 2</t>
  </si>
  <si>
    <t>Level 3</t>
  </si>
  <si>
    <t>Role</t>
  </si>
  <si>
    <t>Name</t>
  </si>
  <si>
    <t>Cost Rate</t>
  </si>
  <si>
    <t>Hours</t>
  </si>
  <si>
    <t>Time Cost</t>
  </si>
  <si>
    <t>Cost</t>
  </si>
  <si>
    <t>Preparation of Draft Detailed Design report</t>
  </si>
  <si>
    <t>Project Manager</t>
  </si>
  <si>
    <t>1.4.1</t>
  </si>
  <si>
    <t>Detailed Design</t>
  </si>
  <si>
    <t>1.4.2</t>
  </si>
  <si>
    <t>Preparation of LS and plans</t>
  </si>
  <si>
    <t xml:space="preserve">CAD </t>
  </si>
  <si>
    <t>Francis Rumao</t>
  </si>
  <si>
    <t>1.4.3</t>
  </si>
  <si>
    <t>Preparation of BOQ</t>
  </si>
  <si>
    <t>1.4.4</t>
  </si>
  <si>
    <t>Preparation of Draft DDR</t>
  </si>
  <si>
    <t>Senior Project Manager</t>
  </si>
  <si>
    <t>Cliet Service Manager</t>
  </si>
  <si>
    <t>Vidyadhar Vengurlekar</t>
  </si>
  <si>
    <t>1.4.5</t>
  </si>
  <si>
    <t>Submission of Draft DDR</t>
  </si>
  <si>
    <t>Comments and Reviews from client</t>
  </si>
  <si>
    <t>1.5.1</t>
  </si>
  <si>
    <t xml:space="preserve">Client Presentation </t>
  </si>
  <si>
    <t>`</t>
  </si>
  <si>
    <t>1.5.2</t>
  </si>
  <si>
    <t xml:space="preserve">Compliance of client comments </t>
  </si>
  <si>
    <t>1.5.3</t>
  </si>
  <si>
    <t>Submission of Final DDR</t>
  </si>
  <si>
    <t xml:space="preserve">Preparation of Tender Documents </t>
  </si>
  <si>
    <t>1.6.1</t>
  </si>
  <si>
    <t>Prepration of Draft Tender</t>
  </si>
  <si>
    <t>1.6.2</t>
  </si>
  <si>
    <t>Submission of Draft Tender</t>
  </si>
  <si>
    <t>Total Hours:</t>
  </si>
  <si>
    <t>Total Cost:</t>
  </si>
  <si>
    <t>Topographical survey</t>
  </si>
  <si>
    <t>Sector</t>
  </si>
  <si>
    <t>Office</t>
  </si>
  <si>
    <t>Client</t>
  </si>
  <si>
    <t>Region</t>
  </si>
  <si>
    <t>Estimated Project Cost</t>
  </si>
  <si>
    <t>Type of Client</t>
  </si>
  <si>
    <t>Project Title</t>
  </si>
  <si>
    <t>Work Breakdown structure</t>
  </si>
  <si>
    <t>Project Detail</t>
  </si>
  <si>
    <t>PM</t>
  </si>
  <si>
    <t>Project No.</t>
  </si>
  <si>
    <t>Type of Job</t>
  </si>
  <si>
    <t xml:space="preserve">Fee Type </t>
  </si>
  <si>
    <t>(Lumpsum/Item Rate)</t>
  </si>
  <si>
    <t>Start Date</t>
  </si>
  <si>
    <t>End Date</t>
  </si>
  <si>
    <t>Period</t>
  </si>
  <si>
    <t>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</si>
</sst>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  <numFmt numFmtId="167" formatCode="_-* #,##0.0_-;\-* #,##0.0_-;_-* &quot;-&quot;??_-;_-@_-"/>
  </numFmts>
  <fonts count="11">
    <font>
      <sz val="11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i/>
      <sz val="8"/>
      <name val="Arial"/>
      <family val="2"/>
    </font>
    <font>
      <b/>
      <sz val="8"/>
      <color indexed="81"/>
      <name val="Tahoma"/>
      <family val="2"/>
    </font>
    <font>
      <b/>
      <sz val="16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name val="Geneva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0" fillId="0" borderId="0"/>
  </cellStyleXfs>
  <cellXfs count="86">
    <xf numFmtId="0" fontId="0" fillId="0" borderId="0" xfId="0"/>
    <xf numFmtId="0" fontId="1" fillId="0" borderId="0" xfId="2" applyAlignment="1" applyProtection="1">
      <alignment vertical="center"/>
    </xf>
    <xf numFmtId="0" fontId="1" fillId="0" borderId="0" xfId="2" applyAlignment="1" applyProtection="1">
      <alignment vertical="center" wrapText="1"/>
    </xf>
    <xf numFmtId="0" fontId="1" fillId="0" borderId="4" xfId="2" applyBorder="1" applyAlignment="1" applyProtection="1">
      <alignment vertical="center"/>
    </xf>
    <xf numFmtId="0" fontId="1" fillId="0" borderId="3" xfId="2" applyBorder="1" applyAlignment="1" applyProtection="1">
      <alignment vertical="center"/>
    </xf>
    <xf numFmtId="0" fontId="3" fillId="0" borderId="0" xfId="2" applyFont="1" applyAlignment="1" applyProtection="1">
      <alignment vertical="center"/>
    </xf>
    <xf numFmtId="164" fontId="3" fillId="0" borderId="0" xfId="3" applyFont="1" applyAlignment="1" applyProtection="1">
      <alignment vertical="center"/>
    </xf>
    <xf numFmtId="165" fontId="3" fillId="0" borderId="0" xfId="1" applyNumberFormat="1" applyFont="1" applyAlignment="1" applyProtection="1">
      <alignment vertical="center"/>
    </xf>
    <xf numFmtId="0" fontId="3" fillId="4" borderId="7" xfId="3" applyNumberFormat="1" applyFont="1" applyFill="1" applyBorder="1" applyAlignment="1" applyProtection="1">
      <alignment vertical="center" wrapText="1"/>
    </xf>
    <xf numFmtId="164" fontId="3" fillId="4" borderId="7" xfId="3" applyFont="1" applyFill="1" applyBorder="1" applyAlignment="1" applyProtection="1">
      <alignment vertical="center"/>
    </xf>
    <xf numFmtId="0" fontId="3" fillId="4" borderId="6" xfId="2" applyFont="1" applyFill="1" applyBorder="1" applyAlignment="1" applyProtection="1">
      <alignment horizontal="center" vertical="center"/>
    </xf>
    <xf numFmtId="0" fontId="3" fillId="4" borderId="2" xfId="2" applyFont="1" applyFill="1" applyBorder="1" applyAlignment="1" applyProtection="1">
      <alignment horizontal="center" vertical="center"/>
    </xf>
    <xf numFmtId="0" fontId="3" fillId="4" borderId="5" xfId="2" applyFont="1" applyFill="1" applyBorder="1" applyAlignment="1" applyProtection="1">
      <alignment horizontal="center" vertical="center"/>
    </xf>
    <xf numFmtId="0" fontId="3" fillId="0" borderId="8" xfId="2" applyFont="1" applyFill="1" applyBorder="1" applyAlignment="1" applyProtection="1">
      <alignment vertical="center"/>
    </xf>
    <xf numFmtId="165" fontId="3" fillId="5" borderId="8" xfId="1" applyNumberFormat="1" applyFont="1" applyFill="1" applyBorder="1" applyAlignment="1" applyProtection="1">
      <alignment vertical="center"/>
    </xf>
    <xf numFmtId="165" fontId="3" fillId="0" borderId="8" xfId="1" applyNumberFormat="1" applyFont="1" applyFill="1" applyBorder="1" applyAlignment="1" applyProtection="1">
      <alignment vertical="center"/>
    </xf>
    <xf numFmtId="0" fontId="3" fillId="4" borderId="7" xfId="3" applyNumberFormat="1" applyFont="1" applyFill="1" applyBorder="1" applyAlignment="1" applyProtection="1">
      <alignment horizontal="center" vertical="center" wrapText="1"/>
    </xf>
    <xf numFmtId="17" fontId="3" fillId="4" borderId="8" xfId="2" applyNumberFormat="1" applyFont="1" applyFill="1" applyBorder="1" applyAlignment="1" applyProtection="1">
      <alignment horizontal="center" vertical="center"/>
    </xf>
    <xf numFmtId="0" fontId="3" fillId="0" borderId="8" xfId="2" applyFont="1" applyFill="1" applyBorder="1" applyAlignment="1" applyProtection="1">
      <alignment horizontal="center" vertical="center"/>
    </xf>
    <xf numFmtId="165" fontId="3" fillId="5" borderId="8" xfId="1" applyNumberFormat="1" applyFont="1" applyFill="1" applyBorder="1" applyAlignment="1" applyProtection="1">
      <alignment horizontal="center" vertical="center"/>
    </xf>
    <xf numFmtId="165" fontId="3" fillId="0" borderId="8" xfId="1" applyNumberFormat="1" applyFont="1" applyFill="1" applyBorder="1" applyAlignment="1" applyProtection="1">
      <alignment horizontal="center" vertical="center"/>
    </xf>
    <xf numFmtId="164" fontId="3" fillId="0" borderId="4" xfId="3" applyFont="1" applyBorder="1" applyAlignment="1" applyProtection="1">
      <alignment vertical="center"/>
    </xf>
    <xf numFmtId="164" fontId="3" fillId="0" borderId="3" xfId="3" applyFont="1" applyBorder="1" applyAlignment="1" applyProtection="1">
      <alignment vertical="center"/>
    </xf>
    <xf numFmtId="166" fontId="3" fillId="3" borderId="8" xfId="3" applyNumberFormat="1" applyFont="1" applyFill="1" applyBorder="1" applyAlignment="1" applyProtection="1">
      <alignment horizontal="left" vertical="center"/>
    </xf>
    <xf numFmtId="164" fontId="3" fillId="3" borderId="8" xfId="3" applyFont="1" applyFill="1" applyBorder="1" applyAlignment="1" applyProtection="1">
      <alignment vertical="center" wrapText="1"/>
    </xf>
    <xf numFmtId="0" fontId="3" fillId="4" borderId="8" xfId="3" applyNumberFormat="1" applyFont="1" applyFill="1" applyBorder="1" applyAlignment="1" applyProtection="1">
      <alignment vertical="center" wrapText="1"/>
    </xf>
    <xf numFmtId="164" fontId="3" fillId="4" borderId="5" xfId="3" applyFont="1" applyFill="1" applyBorder="1" applyAlignment="1" applyProtection="1">
      <alignment horizontal="left" vertical="center" wrapText="1"/>
    </xf>
    <xf numFmtId="0" fontId="3" fillId="4" borderId="8" xfId="2" applyFont="1" applyFill="1" applyBorder="1" applyAlignment="1" applyProtection="1">
      <alignment horizontal="center" vertical="center" wrapText="1"/>
    </xf>
    <xf numFmtId="164" fontId="3" fillId="4" borderId="8" xfId="3" applyFont="1" applyFill="1" applyBorder="1" applyAlignment="1" applyProtection="1">
      <alignment vertical="center"/>
    </xf>
    <xf numFmtId="164" fontId="3" fillId="0" borderId="8" xfId="3" applyFont="1" applyFill="1" applyBorder="1" applyAlignment="1" applyProtection="1">
      <alignment horizontal="center" vertical="center"/>
    </xf>
    <xf numFmtId="0" fontId="1" fillId="3" borderId="8" xfId="2" applyFill="1" applyBorder="1" applyAlignment="1" applyProtection="1">
      <alignment vertical="center"/>
      <protection locked="0"/>
    </xf>
    <xf numFmtId="0" fontId="3" fillId="3" borderId="8" xfId="2" applyFont="1" applyFill="1" applyBorder="1" applyAlignment="1" applyProtection="1">
      <alignment vertical="center"/>
      <protection locked="0"/>
    </xf>
    <xf numFmtId="0" fontId="1" fillId="3" borderId="8" xfId="2" applyFill="1" applyBorder="1" applyAlignment="1" applyProtection="1">
      <alignment vertical="center" wrapText="1"/>
      <protection locked="0"/>
    </xf>
    <xf numFmtId="0" fontId="1" fillId="4" borderId="8" xfId="2" applyNumberFormat="1" applyFill="1" applyBorder="1" applyAlignment="1" applyProtection="1">
      <alignment vertical="center" wrapText="1"/>
      <protection locked="0"/>
    </xf>
    <xf numFmtId="164" fontId="0" fillId="4" borderId="8" xfId="3" applyFont="1" applyFill="1" applyBorder="1" applyAlignment="1" applyProtection="1">
      <alignment vertical="center" wrapText="1"/>
      <protection locked="0"/>
    </xf>
    <xf numFmtId="0" fontId="1" fillId="4" borderId="8" xfId="2" applyFill="1" applyBorder="1" applyAlignment="1" applyProtection="1">
      <alignment vertical="center"/>
      <protection locked="0"/>
    </xf>
    <xf numFmtId="167" fontId="3" fillId="0" borderId="8" xfId="3" applyNumberFormat="1" applyFont="1" applyFill="1" applyBorder="1" applyAlignment="1" applyProtection="1">
      <alignment vertical="center"/>
    </xf>
    <xf numFmtId="164" fontId="3" fillId="0" borderId="8" xfId="3" applyFont="1" applyFill="1" applyBorder="1" applyAlignment="1" applyProtection="1">
      <alignment vertical="center"/>
    </xf>
    <xf numFmtId="0" fontId="1" fillId="3" borderId="8" xfId="2" applyFont="1" applyFill="1" applyBorder="1" applyAlignment="1" applyProtection="1">
      <alignment vertical="center" wrapText="1"/>
      <protection locked="0"/>
    </xf>
    <xf numFmtId="0" fontId="3" fillId="3" borderId="8" xfId="2" applyFont="1" applyFill="1" applyBorder="1" applyAlignment="1" applyProtection="1">
      <alignment vertical="center" wrapText="1"/>
      <protection locked="0"/>
    </xf>
    <xf numFmtId="0" fontId="3" fillId="3" borderId="8" xfId="2" applyFont="1" applyFill="1" applyBorder="1" applyAlignment="1" applyProtection="1">
      <alignment horizontal="right" vertical="center" wrapText="1"/>
      <protection locked="0"/>
    </xf>
    <xf numFmtId="0" fontId="3" fillId="0" borderId="0" xfId="2" applyFont="1" applyAlignment="1" applyProtection="1">
      <alignment horizontal="right" vertical="center"/>
    </xf>
    <xf numFmtId="0" fontId="1" fillId="0" borderId="0" xfId="2" applyNumberFormat="1" applyAlignment="1" applyProtection="1">
      <alignment vertical="center" wrapText="1"/>
    </xf>
    <xf numFmtId="164" fontId="3" fillId="0" borderId="8" xfId="3" applyNumberFormat="1" applyFont="1" applyFill="1" applyBorder="1" applyAlignment="1" applyProtection="1">
      <alignment vertical="center"/>
    </xf>
    <xf numFmtId="164" fontId="3" fillId="0" borderId="8" xfId="2" applyNumberFormat="1" applyFont="1" applyFill="1" applyBorder="1" applyAlignment="1" applyProtection="1">
      <alignment vertical="center"/>
    </xf>
    <xf numFmtId="164" fontId="0" fillId="0" borderId="0" xfId="3" applyFont="1" applyAlignment="1" applyProtection="1">
      <alignment vertical="center" wrapText="1"/>
    </xf>
    <xf numFmtId="164" fontId="4" fillId="0" borderId="0" xfId="3" applyFont="1" applyAlignment="1" applyProtection="1">
      <alignment horizontal="center" vertical="center"/>
    </xf>
    <xf numFmtId="165" fontId="4" fillId="0" borderId="0" xfId="1" applyNumberFormat="1" applyFont="1" applyAlignment="1" applyProtection="1">
      <alignment horizontal="center" vertical="center"/>
    </xf>
    <xf numFmtId="0" fontId="1" fillId="0" borderId="0" xfId="2" applyBorder="1" applyAlignment="1" applyProtection="1">
      <alignment vertical="center"/>
    </xf>
    <xf numFmtId="0" fontId="1" fillId="0" borderId="1" xfId="2" applyBorder="1" applyAlignment="1" applyProtection="1">
      <alignment vertical="center"/>
    </xf>
    <xf numFmtId="0" fontId="3" fillId="0" borderId="1" xfId="2" applyFont="1" applyBorder="1" applyAlignment="1" applyProtection="1">
      <alignment vertical="center"/>
    </xf>
    <xf numFmtId="165" fontId="3" fillId="0" borderId="1" xfId="1" applyNumberFormat="1" applyFont="1" applyBorder="1" applyAlignment="1" applyProtection="1">
      <alignment vertical="center"/>
    </xf>
    <xf numFmtId="1" fontId="8" fillId="6" borderId="8" xfId="0" applyNumberFormat="1" applyFont="1" applyFill="1" applyBorder="1" applyAlignment="1">
      <alignment vertical="center" wrapText="1"/>
    </xf>
    <xf numFmtId="0" fontId="8" fillId="2" borderId="8" xfId="0" applyFont="1" applyFill="1" applyBorder="1" applyAlignment="1" applyProtection="1">
      <alignment horizontal="center" vertical="center" wrapText="1"/>
    </xf>
    <xf numFmtId="0" fontId="9" fillId="6" borderId="8" xfId="0" applyFont="1" applyFill="1" applyBorder="1" applyAlignment="1">
      <alignment vertical="center" wrapText="1"/>
    </xf>
    <xf numFmtId="0" fontId="8" fillId="6" borderId="8" xfId="0" applyFont="1" applyFill="1" applyBorder="1" applyAlignment="1" applyProtection="1">
      <alignment vertical="center" wrapText="1"/>
    </xf>
    <xf numFmtId="0" fontId="8" fillId="6" borderId="8" xfId="0" applyFont="1" applyFill="1" applyBorder="1" applyAlignment="1">
      <alignment vertical="center" wrapText="1"/>
    </xf>
    <xf numFmtId="0" fontId="7" fillId="2" borderId="8" xfId="0" applyFont="1" applyFill="1" applyBorder="1" applyAlignment="1" applyProtection="1">
      <alignment horizontal="center" vertical="center" wrapText="1"/>
    </xf>
    <xf numFmtId="0" fontId="6" fillId="0" borderId="6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7" fillId="2" borderId="8" xfId="0" applyFont="1" applyFill="1" applyBorder="1" applyAlignment="1" applyProtection="1">
      <alignment horizontal="center" vertical="top" wrapText="1"/>
    </xf>
    <xf numFmtId="0" fontId="8" fillId="2" borderId="8" xfId="0" applyFont="1" applyFill="1" applyBorder="1" applyAlignment="1" applyProtection="1">
      <alignment horizontal="center" vertical="center" wrapText="1"/>
    </xf>
    <xf numFmtId="164" fontId="3" fillId="3" borderId="6" xfId="3" applyFont="1" applyFill="1" applyBorder="1" applyAlignment="1" applyProtection="1">
      <alignment horizontal="center" vertical="center" wrapText="1"/>
    </xf>
    <xf numFmtId="164" fontId="3" fillId="3" borderId="2" xfId="3" applyFont="1" applyFill="1" applyBorder="1" applyAlignment="1" applyProtection="1">
      <alignment horizontal="center" vertical="center" wrapText="1"/>
    </xf>
    <xf numFmtId="164" fontId="3" fillId="3" borderId="5" xfId="3" applyFont="1" applyFill="1" applyBorder="1" applyAlignment="1" applyProtection="1">
      <alignment horizontal="center" vertical="center" wrapText="1"/>
    </xf>
    <xf numFmtId="0" fontId="8" fillId="6" borderId="6" xfId="0" applyFont="1" applyFill="1" applyBorder="1" applyAlignment="1">
      <alignment horizontal="center" vertical="top" wrapText="1"/>
    </xf>
    <xf numFmtId="0" fontId="8" fillId="6" borderId="2" xfId="0" applyFont="1" applyFill="1" applyBorder="1" applyAlignment="1">
      <alignment horizontal="center" vertical="top" wrapText="1"/>
    </xf>
    <xf numFmtId="0" fontId="8" fillId="6" borderId="5" xfId="0" applyFont="1" applyFill="1" applyBorder="1" applyAlignment="1">
      <alignment horizontal="center" vertical="top" wrapText="1"/>
    </xf>
    <xf numFmtId="0" fontId="7" fillId="2" borderId="6" xfId="0" applyFont="1" applyFill="1" applyBorder="1" applyAlignment="1" applyProtection="1">
      <alignment horizontal="center" vertical="top" wrapText="1"/>
    </xf>
    <xf numFmtId="0" fontId="7" fillId="2" borderId="5" xfId="0" applyFont="1" applyFill="1" applyBorder="1" applyAlignment="1" applyProtection="1">
      <alignment horizontal="center" vertical="top" wrapText="1"/>
    </xf>
    <xf numFmtId="0" fontId="8" fillId="6" borderId="6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 applyProtection="1">
      <alignment horizontal="center" vertical="center" wrapText="1"/>
    </xf>
    <xf numFmtId="0" fontId="8" fillId="6" borderId="8" xfId="0" applyFont="1" applyFill="1" applyBorder="1" applyAlignment="1" applyProtection="1">
      <alignment horizontal="center" vertical="center" wrapText="1"/>
    </xf>
    <xf numFmtId="0" fontId="9" fillId="6" borderId="8" xfId="0" applyFont="1" applyFill="1" applyBorder="1" applyAlignment="1">
      <alignment vertical="top" wrapText="1"/>
    </xf>
    <xf numFmtId="0" fontId="8" fillId="2" borderId="9" xfId="0" applyFont="1" applyFill="1" applyBorder="1" applyAlignment="1" applyProtection="1">
      <alignment horizontal="center" vertical="center" wrapText="1"/>
    </xf>
    <xf numFmtId="0" fontId="8" fillId="6" borderId="9" xfId="0" applyFont="1" applyFill="1" applyBorder="1" applyAlignment="1">
      <alignment vertical="center" wrapText="1"/>
    </xf>
    <xf numFmtId="0" fontId="8" fillId="2" borderId="9" xfId="0" applyFont="1" applyFill="1" applyBorder="1" applyAlignment="1" applyProtection="1">
      <alignment horizontal="center" vertical="center" wrapText="1"/>
    </xf>
    <xf numFmtId="0" fontId="9" fillId="6" borderId="9" xfId="0" applyFont="1" applyFill="1" applyBorder="1" applyAlignment="1">
      <alignment vertical="center" wrapText="1"/>
    </xf>
    <xf numFmtId="0" fontId="8" fillId="2" borderId="9" xfId="0" applyFont="1" applyFill="1" applyBorder="1" applyAlignment="1" applyProtection="1">
      <alignment vertical="center" wrapText="1"/>
    </xf>
    <xf numFmtId="0" fontId="8" fillId="6" borderId="9" xfId="0" applyFont="1" applyFill="1" applyBorder="1" applyAlignment="1" applyProtection="1">
      <alignment horizontal="center" vertical="center" wrapText="1"/>
    </xf>
    <xf numFmtId="0" fontId="8" fillId="6" borderId="9" xfId="0" applyFont="1" applyFill="1" applyBorder="1" applyAlignment="1" applyProtection="1">
      <alignment vertical="center" wrapText="1"/>
    </xf>
    <xf numFmtId="0" fontId="8" fillId="2" borderId="8" xfId="0" applyFont="1" applyFill="1" applyBorder="1" applyAlignment="1" applyProtection="1">
      <alignment vertical="center" wrapText="1"/>
    </xf>
    <xf numFmtId="164" fontId="3" fillId="4" borderId="7" xfId="3" applyFont="1" applyFill="1" applyBorder="1" applyAlignment="1" applyProtection="1">
      <alignment horizontal="center" vertical="center"/>
    </xf>
  </cellXfs>
  <cellStyles count="5">
    <cellStyle name="Comma" xfId="1" builtinId="3"/>
    <cellStyle name="Comma 2" xfId="3"/>
    <cellStyle name="Normal" xfId="0" builtinId="0"/>
    <cellStyle name="Normal 2" xfId="4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5">
  <dgm:title val=""/>
  <dgm:desc val=""/>
  <dgm:catLst>
    <dgm:cat type="colorful" pri="10500"/>
  </dgm:catLst>
  <dgm:styleLbl name="node0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5"/>
      <a:schemeClr val="accent6"/>
    </dgm:fillClrLst>
    <dgm:linClrLst>
      <a:schemeClr val="accent5"/>
      <a:schemeClr val="accent6"/>
    </dgm:linClrLst>
    <dgm:effectClrLst/>
    <dgm:txLinClrLst/>
    <dgm:txFillClrLst/>
    <dgm:txEffectClrLst/>
  </dgm:styleLbl>
  <dgm:styleLbl name="ln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5"/>
    </dgm:fillClrLst>
    <dgm:linClrLst meth="repeat">
      <a:schemeClr val="accent5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6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1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5"/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6">
        <a:tint val="9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6">
        <a:tint val="7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5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5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5">
        <a:tint val="50000"/>
        <a:alpha val="40000"/>
      </a:schemeClr>
    </dgm:fillClrLst>
    <dgm:linClrLst meth="repeat">
      <a:schemeClr val="accent5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5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colorful1">
  <dgm:title val=""/>
  <dgm:desc val=""/>
  <dgm:catLst>
    <dgm:cat type="colorful" pri="101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/>
    <dgm:txEffectClrLst/>
  </dgm:styleLbl>
  <dgm:styleLbl name="l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2">
        <a:alpha val="50000"/>
      </a:schemeClr>
      <a:schemeClr val="accent3">
        <a:alpha val="50000"/>
      </a:schemeClr>
      <a:schemeClr val="accent4">
        <a:alpha val="50000"/>
      </a:schemeClr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2">
        <a:tint val="50000"/>
      </a:schemeClr>
      <a:schemeClr val="accent3">
        <a:tint val="50000"/>
      </a:schemeClr>
      <a:schemeClr val="accent4">
        <a:tint val="50000"/>
      </a:schemeClr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/>
    <dgm:txEffectClrLst/>
  </dgm:styleLbl>
  <dgm:styleLbl name="f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>
        <a:tint val="9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5">
        <a:tint val="5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1CAA67D7-5516-4C7C-95AF-5C2350B5D575}" type="doc">
      <dgm:prSet loTypeId="urn:microsoft.com/office/officeart/2005/8/layout/matrix3" loCatId="matrix" qsTypeId="urn:microsoft.com/office/officeart/2005/8/quickstyle/simple3" qsCatId="simple" csTypeId="urn:microsoft.com/office/officeart/2005/8/colors/colorful5" csCatId="colorful" phldr="1"/>
      <dgm:spPr/>
      <dgm:t>
        <a:bodyPr/>
        <a:lstStyle/>
        <a:p>
          <a:endParaRPr lang="en-US"/>
        </a:p>
      </dgm:t>
    </dgm:pt>
    <dgm:pt modelId="{6E13860F-2A93-4AE7-991F-260BBB78101A}">
      <dgm:prSet phldrT="[Text]"/>
      <dgm:spPr/>
      <dgm:t>
        <a:bodyPr/>
        <a:lstStyle/>
        <a:p>
          <a:r>
            <a:rPr lang="en-US"/>
            <a:t>NJSEI</a:t>
          </a:r>
        </a:p>
      </dgm:t>
    </dgm:pt>
    <dgm:pt modelId="{AC95D02D-8204-4790-A659-E0867E52CADB}" type="parTrans" cxnId="{8893189D-B4BF-43A6-8B66-57E9C057D4F7}">
      <dgm:prSet/>
      <dgm:spPr/>
      <dgm:t>
        <a:bodyPr/>
        <a:lstStyle/>
        <a:p>
          <a:endParaRPr lang="en-US"/>
        </a:p>
      </dgm:t>
    </dgm:pt>
    <dgm:pt modelId="{C8C5C2E3-71F1-4DDA-95CA-67844634AB3A}" type="sibTrans" cxnId="{8893189D-B4BF-43A6-8B66-57E9C057D4F7}">
      <dgm:prSet/>
      <dgm:spPr/>
      <dgm:t>
        <a:bodyPr/>
        <a:lstStyle/>
        <a:p>
          <a:endParaRPr lang="en-US"/>
        </a:p>
      </dgm:t>
    </dgm:pt>
    <dgm:pt modelId="{4B24D2D4-EDD2-4169-BC54-365CF87D8518}">
      <dgm:prSet phldrT="[Text]"/>
      <dgm:spPr/>
      <dgm:t>
        <a:bodyPr/>
        <a:lstStyle/>
        <a:p>
          <a:r>
            <a:rPr lang="en-US"/>
            <a:t>QMS</a:t>
          </a:r>
        </a:p>
      </dgm:t>
    </dgm:pt>
    <dgm:pt modelId="{CC66BB30-61FF-4C75-93CF-3CC49B947362}" type="parTrans" cxnId="{DB104596-2287-4CB0-9378-499509842619}">
      <dgm:prSet/>
      <dgm:spPr/>
      <dgm:t>
        <a:bodyPr/>
        <a:lstStyle/>
        <a:p>
          <a:endParaRPr lang="en-US"/>
        </a:p>
      </dgm:t>
    </dgm:pt>
    <dgm:pt modelId="{05BCFC77-1935-4C09-B33F-4CE81F32C64A}" type="sibTrans" cxnId="{DB104596-2287-4CB0-9378-499509842619}">
      <dgm:prSet/>
      <dgm:spPr/>
      <dgm:t>
        <a:bodyPr/>
        <a:lstStyle/>
        <a:p>
          <a:endParaRPr lang="en-US"/>
        </a:p>
      </dgm:t>
    </dgm:pt>
    <dgm:pt modelId="{6B61E0B5-74DF-4541-9FC3-C69BBB7179F9}">
      <dgm:prSet phldrT="[Text]"/>
      <dgm:spPr/>
      <dgm:t>
        <a:bodyPr/>
        <a:lstStyle/>
        <a:p>
          <a:r>
            <a:rPr lang="en-US"/>
            <a:t>Date</a:t>
          </a:r>
        </a:p>
      </dgm:t>
    </dgm:pt>
    <dgm:pt modelId="{F545E547-6874-43B8-97B4-6119BB37AFB0}" type="sibTrans" cxnId="{0AA6937A-AA52-47E0-9A01-4620FBE6925B}">
      <dgm:prSet/>
      <dgm:spPr/>
      <dgm:t>
        <a:bodyPr/>
        <a:lstStyle/>
        <a:p>
          <a:endParaRPr lang="en-US"/>
        </a:p>
      </dgm:t>
    </dgm:pt>
    <dgm:pt modelId="{8E3324BC-6EBE-4FC3-8B2E-E3BF5EC0EEDD}" type="parTrans" cxnId="{0AA6937A-AA52-47E0-9A01-4620FBE6925B}">
      <dgm:prSet/>
      <dgm:spPr/>
      <dgm:t>
        <a:bodyPr/>
        <a:lstStyle/>
        <a:p>
          <a:endParaRPr lang="en-US"/>
        </a:p>
      </dgm:t>
    </dgm:pt>
    <dgm:pt modelId="{B0BF3C58-3C7A-4454-B1AD-94CF8355F55A}">
      <dgm:prSet phldrT="[Text]"/>
      <dgm:spPr/>
      <dgm:t>
        <a:bodyPr/>
        <a:lstStyle/>
        <a:p>
          <a:r>
            <a:rPr lang="en-US"/>
            <a:t>PMD2</a:t>
          </a:r>
        </a:p>
      </dgm:t>
    </dgm:pt>
    <dgm:pt modelId="{8B3E8D7E-1E24-42D7-9218-1EDE33311EC6}" type="sibTrans" cxnId="{491622CB-7810-4694-A92B-EFFF59A01FAD}">
      <dgm:prSet/>
      <dgm:spPr/>
      <dgm:t>
        <a:bodyPr/>
        <a:lstStyle/>
        <a:p>
          <a:endParaRPr lang="en-US"/>
        </a:p>
      </dgm:t>
    </dgm:pt>
    <dgm:pt modelId="{EA800FD2-782C-41EF-A848-A58C418769BA}" type="parTrans" cxnId="{491622CB-7810-4694-A92B-EFFF59A01FAD}">
      <dgm:prSet/>
      <dgm:spPr/>
      <dgm:t>
        <a:bodyPr/>
        <a:lstStyle/>
        <a:p>
          <a:endParaRPr lang="en-US"/>
        </a:p>
      </dgm:t>
    </dgm:pt>
    <dgm:pt modelId="{CD61FA5C-7699-4561-A896-A0ABABA54C34}" type="pres">
      <dgm:prSet presAssocID="{1CAA67D7-5516-4C7C-95AF-5C2350B5D575}" presName="matrix" presStyleCnt="0">
        <dgm:presLayoutVars>
          <dgm:chMax val="1"/>
          <dgm:dir/>
          <dgm:resizeHandles val="exact"/>
        </dgm:presLayoutVars>
      </dgm:prSet>
      <dgm:spPr/>
      <dgm:t>
        <a:bodyPr/>
        <a:lstStyle/>
        <a:p>
          <a:endParaRPr lang="en-IN"/>
        </a:p>
      </dgm:t>
    </dgm:pt>
    <dgm:pt modelId="{5FB9D7B5-2CD1-417A-9F00-AC51CD884918}" type="pres">
      <dgm:prSet presAssocID="{1CAA67D7-5516-4C7C-95AF-5C2350B5D575}" presName="diamond" presStyleLbl="bgShp" presStyleIdx="0" presStyleCnt="1"/>
      <dgm:spPr/>
    </dgm:pt>
    <dgm:pt modelId="{80376115-9BAC-4F7D-97D2-E9F2A2B8BFBD}" type="pres">
      <dgm:prSet presAssocID="{1CAA67D7-5516-4C7C-95AF-5C2350B5D575}" presName="quad1" presStyleLbl="node1" presStyleIdx="0" presStyleCnt="4">
        <dgm:presLayoutVars>
          <dgm:chMax val="0"/>
          <dgm:chPref val="0"/>
          <dgm:bulletEnabled val="1"/>
        </dgm:presLayoutVars>
      </dgm:prSet>
      <dgm:spPr/>
      <dgm:t>
        <a:bodyPr/>
        <a:lstStyle/>
        <a:p>
          <a:endParaRPr lang="en-IN"/>
        </a:p>
      </dgm:t>
    </dgm:pt>
    <dgm:pt modelId="{C4D87CAE-BA68-43DC-924F-90A9DF3F54BF}" type="pres">
      <dgm:prSet presAssocID="{1CAA67D7-5516-4C7C-95AF-5C2350B5D575}" presName="quad2" presStyleLbl="node1" presStyleIdx="1" presStyleCnt="4">
        <dgm:presLayoutVars>
          <dgm:chMax val="0"/>
          <dgm:chPref val="0"/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BD7806DE-AC41-4515-9833-F7B1A3879E54}" type="pres">
      <dgm:prSet presAssocID="{1CAA67D7-5516-4C7C-95AF-5C2350B5D575}" presName="quad3" presStyleLbl="node1" presStyleIdx="2" presStyleCnt="4">
        <dgm:presLayoutVars>
          <dgm:chMax val="0"/>
          <dgm:chPref val="0"/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B100A32C-8EC3-4218-A612-8FE2E5F750EC}" type="pres">
      <dgm:prSet presAssocID="{1CAA67D7-5516-4C7C-95AF-5C2350B5D575}" presName="quad4" presStyleLbl="node1" presStyleIdx="3" presStyleCnt="4">
        <dgm:presLayoutVars>
          <dgm:chMax val="0"/>
          <dgm:chPref val="0"/>
          <dgm:bulletEnabled val="1"/>
        </dgm:presLayoutVars>
      </dgm:prSet>
      <dgm:spPr/>
      <dgm:t>
        <a:bodyPr/>
        <a:lstStyle/>
        <a:p>
          <a:endParaRPr lang="en-US"/>
        </a:p>
      </dgm:t>
    </dgm:pt>
  </dgm:ptLst>
  <dgm:cxnLst>
    <dgm:cxn modelId="{DB104596-2287-4CB0-9378-499509842619}" srcId="{1CAA67D7-5516-4C7C-95AF-5C2350B5D575}" destId="{4B24D2D4-EDD2-4169-BC54-365CF87D8518}" srcOrd="1" destOrd="0" parTransId="{CC66BB30-61FF-4C75-93CF-3CC49B947362}" sibTransId="{05BCFC77-1935-4C09-B33F-4CE81F32C64A}"/>
    <dgm:cxn modelId="{66BEBE01-CA36-4BFA-9B9C-C9A25D417B09}" type="presOf" srcId="{6E13860F-2A93-4AE7-991F-260BBB78101A}" destId="{80376115-9BAC-4F7D-97D2-E9F2A2B8BFBD}" srcOrd="0" destOrd="0" presId="urn:microsoft.com/office/officeart/2005/8/layout/matrix3"/>
    <dgm:cxn modelId="{491622CB-7810-4694-A92B-EFFF59A01FAD}" srcId="{1CAA67D7-5516-4C7C-95AF-5C2350B5D575}" destId="{B0BF3C58-3C7A-4454-B1AD-94CF8355F55A}" srcOrd="2" destOrd="0" parTransId="{EA800FD2-782C-41EF-A848-A58C418769BA}" sibTransId="{8B3E8D7E-1E24-42D7-9218-1EDE33311EC6}"/>
    <dgm:cxn modelId="{C28F7448-D3EB-4D8A-9624-302C7BBCCCE2}" type="presOf" srcId="{B0BF3C58-3C7A-4454-B1AD-94CF8355F55A}" destId="{BD7806DE-AC41-4515-9833-F7B1A3879E54}" srcOrd="0" destOrd="0" presId="urn:microsoft.com/office/officeart/2005/8/layout/matrix3"/>
    <dgm:cxn modelId="{D9CD278E-26E1-4AC1-A1F0-E6716F545177}" type="presOf" srcId="{1CAA67D7-5516-4C7C-95AF-5C2350B5D575}" destId="{CD61FA5C-7699-4561-A896-A0ABABA54C34}" srcOrd="0" destOrd="0" presId="urn:microsoft.com/office/officeart/2005/8/layout/matrix3"/>
    <dgm:cxn modelId="{28E6A2DF-3334-4EB7-BA9B-034976F635A0}" type="presOf" srcId="{6B61E0B5-74DF-4541-9FC3-C69BBB7179F9}" destId="{B100A32C-8EC3-4218-A612-8FE2E5F750EC}" srcOrd="0" destOrd="0" presId="urn:microsoft.com/office/officeart/2005/8/layout/matrix3"/>
    <dgm:cxn modelId="{B292F787-6A64-43BC-B1AF-83E6AEE23332}" type="presOf" srcId="{4B24D2D4-EDD2-4169-BC54-365CF87D8518}" destId="{C4D87CAE-BA68-43DC-924F-90A9DF3F54BF}" srcOrd="0" destOrd="0" presId="urn:microsoft.com/office/officeart/2005/8/layout/matrix3"/>
    <dgm:cxn modelId="{8893189D-B4BF-43A6-8B66-57E9C057D4F7}" srcId="{1CAA67D7-5516-4C7C-95AF-5C2350B5D575}" destId="{6E13860F-2A93-4AE7-991F-260BBB78101A}" srcOrd="0" destOrd="0" parTransId="{AC95D02D-8204-4790-A659-E0867E52CADB}" sibTransId="{C8C5C2E3-71F1-4DDA-95CA-67844634AB3A}"/>
    <dgm:cxn modelId="{0AA6937A-AA52-47E0-9A01-4620FBE6925B}" srcId="{1CAA67D7-5516-4C7C-95AF-5C2350B5D575}" destId="{6B61E0B5-74DF-4541-9FC3-C69BBB7179F9}" srcOrd="3" destOrd="0" parTransId="{8E3324BC-6EBE-4FC3-8B2E-E3BF5EC0EEDD}" sibTransId="{F545E547-6874-43B8-97B4-6119BB37AFB0}"/>
    <dgm:cxn modelId="{B102AED0-2FB8-46F9-8F83-B02AEA21FCB8}" type="presParOf" srcId="{CD61FA5C-7699-4561-A896-A0ABABA54C34}" destId="{5FB9D7B5-2CD1-417A-9F00-AC51CD884918}" srcOrd="0" destOrd="0" presId="urn:microsoft.com/office/officeart/2005/8/layout/matrix3"/>
    <dgm:cxn modelId="{230500F1-E6BE-44B8-B6AC-62D77C1090D3}" type="presParOf" srcId="{CD61FA5C-7699-4561-A896-A0ABABA54C34}" destId="{80376115-9BAC-4F7D-97D2-E9F2A2B8BFBD}" srcOrd="1" destOrd="0" presId="urn:microsoft.com/office/officeart/2005/8/layout/matrix3"/>
    <dgm:cxn modelId="{91E67476-BBD6-458C-856D-5C025D5326F7}" type="presParOf" srcId="{CD61FA5C-7699-4561-A896-A0ABABA54C34}" destId="{C4D87CAE-BA68-43DC-924F-90A9DF3F54BF}" srcOrd="2" destOrd="0" presId="urn:microsoft.com/office/officeart/2005/8/layout/matrix3"/>
    <dgm:cxn modelId="{87379B32-7CA0-4C35-9283-AB8F441629C4}" type="presParOf" srcId="{CD61FA5C-7699-4561-A896-A0ABABA54C34}" destId="{BD7806DE-AC41-4515-9833-F7B1A3879E54}" srcOrd="3" destOrd="0" presId="urn:microsoft.com/office/officeart/2005/8/layout/matrix3"/>
    <dgm:cxn modelId="{85D28372-7E8E-4BDB-AD75-9A1970EEC99D}" type="presParOf" srcId="{CD61FA5C-7699-4561-A896-A0ABABA54C34}" destId="{B100A32C-8EC3-4218-A612-8FE2E5F750EC}" srcOrd="4" destOrd="0" presId="urn:microsoft.com/office/officeart/2005/8/layout/matrix3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45117B6F-0454-483A-8270-87219FD12CCD}" type="doc">
      <dgm:prSet loTypeId="urn:microsoft.com/office/officeart/2005/8/layout/hProcess9" loCatId="process" qsTypeId="urn:microsoft.com/office/officeart/2005/8/quickstyle/simple1" qsCatId="simple" csTypeId="urn:microsoft.com/office/officeart/2005/8/colors/colorful1" csCatId="colorful" phldr="1"/>
      <dgm:spPr/>
    </dgm:pt>
    <dgm:pt modelId="{C16222AF-55AD-4005-8D14-8A5DE590287D}">
      <dgm:prSet phldrT="[Text]"/>
      <dgm:spPr/>
      <dgm:t>
        <a:bodyPr/>
        <a:lstStyle/>
        <a:p>
          <a:r>
            <a:rPr lang="en-US"/>
            <a:t>Prepared by </a:t>
          </a:r>
        </a:p>
        <a:p>
          <a:r>
            <a:rPr lang="en-US"/>
            <a:t>Project Manager</a:t>
          </a:r>
        </a:p>
      </dgm:t>
    </dgm:pt>
    <dgm:pt modelId="{B684A491-144A-4139-B7F6-7A405661056B}" type="parTrans" cxnId="{21D2151C-7151-4347-A806-78D409A6D5EA}">
      <dgm:prSet/>
      <dgm:spPr/>
      <dgm:t>
        <a:bodyPr/>
        <a:lstStyle/>
        <a:p>
          <a:endParaRPr lang="en-US"/>
        </a:p>
      </dgm:t>
    </dgm:pt>
    <dgm:pt modelId="{416B6883-ADA5-43AB-8586-F15AB0CD7181}" type="sibTrans" cxnId="{21D2151C-7151-4347-A806-78D409A6D5EA}">
      <dgm:prSet/>
      <dgm:spPr/>
      <dgm:t>
        <a:bodyPr/>
        <a:lstStyle/>
        <a:p>
          <a:endParaRPr lang="en-US"/>
        </a:p>
      </dgm:t>
    </dgm:pt>
    <dgm:pt modelId="{D8981121-2EC8-4738-BC25-D7E6E9B84EBA}">
      <dgm:prSet phldrT="[Text]"/>
      <dgm:spPr/>
      <dgm:t>
        <a:bodyPr/>
        <a:lstStyle/>
        <a:p>
          <a:r>
            <a:rPr lang="en-US"/>
            <a:t>Reviewed by Senior Project Manager</a:t>
          </a:r>
        </a:p>
      </dgm:t>
    </dgm:pt>
    <dgm:pt modelId="{69399A41-C237-4AAE-A45D-D210ED7C8CFE}" type="parTrans" cxnId="{DC527DBD-0BC0-456F-AD18-049719F71A91}">
      <dgm:prSet/>
      <dgm:spPr/>
      <dgm:t>
        <a:bodyPr/>
        <a:lstStyle/>
        <a:p>
          <a:endParaRPr lang="en-US"/>
        </a:p>
      </dgm:t>
    </dgm:pt>
    <dgm:pt modelId="{C0B7F560-7A57-4C7E-84E6-E41C954783B3}" type="sibTrans" cxnId="{DC527DBD-0BC0-456F-AD18-049719F71A91}">
      <dgm:prSet/>
      <dgm:spPr/>
      <dgm:t>
        <a:bodyPr/>
        <a:lstStyle/>
        <a:p>
          <a:endParaRPr lang="en-US"/>
        </a:p>
      </dgm:t>
    </dgm:pt>
    <dgm:pt modelId="{D32EDEE1-C5E8-42CD-8D80-12EF2D45B0E7}">
      <dgm:prSet phldrT="[Text]"/>
      <dgm:spPr/>
      <dgm:t>
        <a:bodyPr/>
        <a:lstStyle/>
        <a:p>
          <a:r>
            <a:rPr lang="en-US"/>
            <a:t>Approved by Regional Manager</a:t>
          </a:r>
        </a:p>
      </dgm:t>
    </dgm:pt>
    <dgm:pt modelId="{B5BD397B-8529-4E16-9E69-859827CFDD90}" type="parTrans" cxnId="{9F8D8027-E002-4710-8C87-822F48BA8E77}">
      <dgm:prSet/>
      <dgm:spPr/>
      <dgm:t>
        <a:bodyPr/>
        <a:lstStyle/>
        <a:p>
          <a:endParaRPr lang="en-US"/>
        </a:p>
      </dgm:t>
    </dgm:pt>
    <dgm:pt modelId="{5D521665-C70C-4A0B-94A3-F762A27657EA}" type="sibTrans" cxnId="{9F8D8027-E002-4710-8C87-822F48BA8E77}">
      <dgm:prSet/>
      <dgm:spPr/>
      <dgm:t>
        <a:bodyPr/>
        <a:lstStyle/>
        <a:p>
          <a:endParaRPr lang="en-US"/>
        </a:p>
      </dgm:t>
    </dgm:pt>
    <dgm:pt modelId="{D0124B4F-6925-499B-8669-E8A0E960FD76}" type="pres">
      <dgm:prSet presAssocID="{45117B6F-0454-483A-8270-87219FD12CCD}" presName="CompostProcess" presStyleCnt="0">
        <dgm:presLayoutVars>
          <dgm:dir/>
          <dgm:resizeHandles val="exact"/>
        </dgm:presLayoutVars>
      </dgm:prSet>
      <dgm:spPr/>
    </dgm:pt>
    <dgm:pt modelId="{3C2B48F8-F2E3-4872-BD61-829884CBC46F}" type="pres">
      <dgm:prSet presAssocID="{45117B6F-0454-483A-8270-87219FD12CCD}" presName="arrow" presStyleLbl="bgShp" presStyleIdx="0" presStyleCnt="1"/>
      <dgm:spPr/>
    </dgm:pt>
    <dgm:pt modelId="{51B9C38D-7CE0-4853-BFB2-B6FAFF3EC1E6}" type="pres">
      <dgm:prSet presAssocID="{45117B6F-0454-483A-8270-87219FD12CCD}" presName="linearProcess" presStyleCnt="0"/>
      <dgm:spPr/>
    </dgm:pt>
    <dgm:pt modelId="{34DE89F3-2A32-44BE-88BE-155A93CC7EAA}" type="pres">
      <dgm:prSet presAssocID="{C16222AF-55AD-4005-8D14-8A5DE590287D}" presName="textNode" presStyleLbl="node1" presStyleIdx="0" presStyleCnt="3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416F7129-1ACB-4D1A-A021-E9F187439DE0}" type="pres">
      <dgm:prSet presAssocID="{416B6883-ADA5-43AB-8586-F15AB0CD7181}" presName="sibTrans" presStyleCnt="0"/>
      <dgm:spPr/>
    </dgm:pt>
    <dgm:pt modelId="{456D1756-6610-416D-B45A-F7B4BCDCE86F}" type="pres">
      <dgm:prSet presAssocID="{D8981121-2EC8-4738-BC25-D7E6E9B84EBA}" presName="textNode" presStyleLbl="node1" presStyleIdx="1" presStyleCnt="3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AFA158F1-9662-47B8-81C5-FD2EDDD65C00}" type="pres">
      <dgm:prSet presAssocID="{C0B7F560-7A57-4C7E-84E6-E41C954783B3}" presName="sibTrans" presStyleCnt="0"/>
      <dgm:spPr/>
    </dgm:pt>
    <dgm:pt modelId="{362869F1-4227-47ED-87BD-D120ECA47682}" type="pres">
      <dgm:prSet presAssocID="{D32EDEE1-C5E8-42CD-8D80-12EF2D45B0E7}" presName="textNode" presStyleLbl="node1" presStyleIdx="2" presStyleCnt="3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</dgm:ptLst>
  <dgm:cxnLst>
    <dgm:cxn modelId="{FB2E22B3-55A3-42B2-84E0-31DD2747DFB5}" type="presOf" srcId="{D8981121-2EC8-4738-BC25-D7E6E9B84EBA}" destId="{456D1756-6610-416D-B45A-F7B4BCDCE86F}" srcOrd="0" destOrd="0" presId="urn:microsoft.com/office/officeart/2005/8/layout/hProcess9"/>
    <dgm:cxn modelId="{21D2151C-7151-4347-A806-78D409A6D5EA}" srcId="{45117B6F-0454-483A-8270-87219FD12CCD}" destId="{C16222AF-55AD-4005-8D14-8A5DE590287D}" srcOrd="0" destOrd="0" parTransId="{B684A491-144A-4139-B7F6-7A405661056B}" sibTransId="{416B6883-ADA5-43AB-8586-F15AB0CD7181}"/>
    <dgm:cxn modelId="{7A49F6A4-4FCF-44E8-833F-CE572DB34445}" type="presOf" srcId="{D32EDEE1-C5E8-42CD-8D80-12EF2D45B0E7}" destId="{362869F1-4227-47ED-87BD-D120ECA47682}" srcOrd="0" destOrd="0" presId="urn:microsoft.com/office/officeart/2005/8/layout/hProcess9"/>
    <dgm:cxn modelId="{DC527DBD-0BC0-456F-AD18-049719F71A91}" srcId="{45117B6F-0454-483A-8270-87219FD12CCD}" destId="{D8981121-2EC8-4738-BC25-D7E6E9B84EBA}" srcOrd="1" destOrd="0" parTransId="{69399A41-C237-4AAE-A45D-D210ED7C8CFE}" sibTransId="{C0B7F560-7A57-4C7E-84E6-E41C954783B3}"/>
    <dgm:cxn modelId="{C49059BB-5A31-49DC-9936-B544D4AE6ABE}" type="presOf" srcId="{45117B6F-0454-483A-8270-87219FD12CCD}" destId="{D0124B4F-6925-499B-8669-E8A0E960FD76}" srcOrd="0" destOrd="0" presId="urn:microsoft.com/office/officeart/2005/8/layout/hProcess9"/>
    <dgm:cxn modelId="{9F8D8027-E002-4710-8C87-822F48BA8E77}" srcId="{45117B6F-0454-483A-8270-87219FD12CCD}" destId="{D32EDEE1-C5E8-42CD-8D80-12EF2D45B0E7}" srcOrd="2" destOrd="0" parTransId="{B5BD397B-8529-4E16-9E69-859827CFDD90}" sibTransId="{5D521665-C70C-4A0B-94A3-F762A27657EA}"/>
    <dgm:cxn modelId="{D2568C74-1DE7-4041-ADA5-0F5DE2E7D7E5}" type="presOf" srcId="{C16222AF-55AD-4005-8D14-8A5DE590287D}" destId="{34DE89F3-2A32-44BE-88BE-155A93CC7EAA}" srcOrd="0" destOrd="0" presId="urn:microsoft.com/office/officeart/2005/8/layout/hProcess9"/>
    <dgm:cxn modelId="{100E1264-B593-4CA9-9693-05A8E5EE6BA6}" type="presParOf" srcId="{D0124B4F-6925-499B-8669-E8A0E960FD76}" destId="{3C2B48F8-F2E3-4872-BD61-829884CBC46F}" srcOrd="0" destOrd="0" presId="urn:microsoft.com/office/officeart/2005/8/layout/hProcess9"/>
    <dgm:cxn modelId="{7732527B-5B3C-4F46-A3B8-F21D5F246B48}" type="presParOf" srcId="{D0124B4F-6925-499B-8669-E8A0E960FD76}" destId="{51B9C38D-7CE0-4853-BFB2-B6FAFF3EC1E6}" srcOrd="1" destOrd="0" presId="urn:microsoft.com/office/officeart/2005/8/layout/hProcess9"/>
    <dgm:cxn modelId="{6FD1FC71-8885-4DA6-B127-C6BDA2057A2B}" type="presParOf" srcId="{51B9C38D-7CE0-4853-BFB2-B6FAFF3EC1E6}" destId="{34DE89F3-2A32-44BE-88BE-155A93CC7EAA}" srcOrd="0" destOrd="0" presId="urn:microsoft.com/office/officeart/2005/8/layout/hProcess9"/>
    <dgm:cxn modelId="{114EA6B4-DF1E-472E-9F2D-FF768831140D}" type="presParOf" srcId="{51B9C38D-7CE0-4853-BFB2-B6FAFF3EC1E6}" destId="{416F7129-1ACB-4D1A-A021-E9F187439DE0}" srcOrd="1" destOrd="0" presId="urn:microsoft.com/office/officeart/2005/8/layout/hProcess9"/>
    <dgm:cxn modelId="{F3B82774-36B2-49EB-BCCE-5288D185B999}" type="presParOf" srcId="{51B9C38D-7CE0-4853-BFB2-B6FAFF3EC1E6}" destId="{456D1756-6610-416D-B45A-F7B4BCDCE86F}" srcOrd="2" destOrd="0" presId="urn:microsoft.com/office/officeart/2005/8/layout/hProcess9"/>
    <dgm:cxn modelId="{AB595FA8-A1F3-416A-901D-3A255463AA8C}" type="presParOf" srcId="{51B9C38D-7CE0-4853-BFB2-B6FAFF3EC1E6}" destId="{AFA158F1-9662-47B8-81C5-FD2EDDD65C00}" srcOrd="3" destOrd="0" presId="urn:microsoft.com/office/officeart/2005/8/layout/hProcess9"/>
    <dgm:cxn modelId="{9595C547-9E69-470F-9A0A-B1237CCBFAB0}" type="presParOf" srcId="{51B9C38D-7CE0-4853-BFB2-B6FAFF3EC1E6}" destId="{362869F1-4227-47ED-87BD-D120ECA47682}" srcOrd="4" destOrd="0" presId="urn:microsoft.com/office/officeart/2005/8/layout/hProcess9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5FB9D7B5-2CD1-417A-9F00-AC51CD884918}">
      <dsp:nvSpPr>
        <dsp:cNvPr id="0" name=""/>
        <dsp:cNvSpPr/>
      </dsp:nvSpPr>
      <dsp:spPr>
        <a:xfrm>
          <a:off x="132051" y="0"/>
          <a:ext cx="1904999" cy="1904999"/>
        </a:xfrm>
        <a:prstGeom prst="diamond">
          <a:avLst/>
        </a:prstGeom>
        <a:solidFill>
          <a:schemeClr val="accent5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/>
      </dsp:style>
    </dsp:sp>
    <dsp:sp modelId="{80376115-9BAC-4F7D-97D2-E9F2A2B8BFBD}">
      <dsp:nvSpPr>
        <dsp:cNvPr id="0" name=""/>
        <dsp:cNvSpPr/>
      </dsp:nvSpPr>
      <dsp:spPr>
        <a:xfrm>
          <a:off x="313026" y="180975"/>
          <a:ext cx="742950" cy="742950"/>
        </a:xfrm>
        <a:prstGeom prst="roundRect">
          <a:avLst/>
        </a:prstGeom>
        <a:gradFill rotWithShape="0">
          <a:gsLst>
            <a:gs pos="0">
              <a:schemeClr val="accent5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5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5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4770" tIns="64770" rIns="64770" bIns="64770" numCol="1" spcCol="1270" anchor="ctr" anchorCtr="0">
          <a:noAutofit/>
        </a:bodyPr>
        <a:lstStyle/>
        <a:p>
          <a:pPr lvl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700" kern="1200"/>
            <a:t>NJSEI</a:t>
          </a:r>
        </a:p>
      </dsp:txBody>
      <dsp:txXfrm>
        <a:off x="349294" y="217243"/>
        <a:ext cx="670414" cy="670414"/>
      </dsp:txXfrm>
    </dsp:sp>
    <dsp:sp modelId="{C4D87CAE-BA68-43DC-924F-90A9DF3F54BF}">
      <dsp:nvSpPr>
        <dsp:cNvPr id="0" name=""/>
        <dsp:cNvSpPr/>
      </dsp:nvSpPr>
      <dsp:spPr>
        <a:xfrm>
          <a:off x="1113126" y="180975"/>
          <a:ext cx="742950" cy="742950"/>
        </a:xfrm>
        <a:prstGeom prst="roundRect">
          <a:avLst/>
        </a:prstGeom>
        <a:gradFill rotWithShape="0">
          <a:gsLst>
            <a:gs pos="0">
              <a:schemeClr val="accent5">
                <a:hueOff val="-2451115"/>
                <a:satOff val="-3409"/>
                <a:lumOff val="-1307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5">
                <a:hueOff val="-2451115"/>
                <a:satOff val="-3409"/>
                <a:lumOff val="-1307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5">
                <a:hueOff val="-2451115"/>
                <a:satOff val="-3409"/>
                <a:lumOff val="-1307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4770" tIns="64770" rIns="64770" bIns="64770" numCol="1" spcCol="1270" anchor="ctr" anchorCtr="0">
          <a:noAutofit/>
        </a:bodyPr>
        <a:lstStyle/>
        <a:p>
          <a:pPr lvl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700" kern="1200"/>
            <a:t>QMS</a:t>
          </a:r>
        </a:p>
      </dsp:txBody>
      <dsp:txXfrm>
        <a:off x="1149394" y="217243"/>
        <a:ext cx="670414" cy="670414"/>
      </dsp:txXfrm>
    </dsp:sp>
    <dsp:sp modelId="{BD7806DE-AC41-4515-9833-F7B1A3879E54}">
      <dsp:nvSpPr>
        <dsp:cNvPr id="0" name=""/>
        <dsp:cNvSpPr/>
      </dsp:nvSpPr>
      <dsp:spPr>
        <a:xfrm>
          <a:off x="313026" y="981074"/>
          <a:ext cx="742950" cy="742950"/>
        </a:xfrm>
        <a:prstGeom prst="roundRect">
          <a:avLst/>
        </a:prstGeom>
        <a:gradFill rotWithShape="0">
          <a:gsLst>
            <a:gs pos="0">
              <a:schemeClr val="accent5">
                <a:hueOff val="-4902231"/>
                <a:satOff val="-6819"/>
                <a:lumOff val="-2615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5">
                <a:hueOff val="-4902231"/>
                <a:satOff val="-6819"/>
                <a:lumOff val="-2615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5">
                <a:hueOff val="-4902231"/>
                <a:satOff val="-6819"/>
                <a:lumOff val="-2615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4770" tIns="64770" rIns="64770" bIns="64770" numCol="1" spcCol="1270" anchor="ctr" anchorCtr="0">
          <a:noAutofit/>
        </a:bodyPr>
        <a:lstStyle/>
        <a:p>
          <a:pPr lvl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700" kern="1200"/>
            <a:t>PMD2</a:t>
          </a:r>
        </a:p>
      </dsp:txBody>
      <dsp:txXfrm>
        <a:off x="349294" y="1017342"/>
        <a:ext cx="670414" cy="670414"/>
      </dsp:txXfrm>
    </dsp:sp>
    <dsp:sp modelId="{B100A32C-8EC3-4218-A612-8FE2E5F750EC}">
      <dsp:nvSpPr>
        <dsp:cNvPr id="0" name=""/>
        <dsp:cNvSpPr/>
      </dsp:nvSpPr>
      <dsp:spPr>
        <a:xfrm>
          <a:off x="1113126" y="981074"/>
          <a:ext cx="742950" cy="742950"/>
        </a:xfrm>
        <a:prstGeom prst="roundRect">
          <a:avLst/>
        </a:prstGeom>
        <a:gradFill rotWithShape="0">
          <a:gsLst>
            <a:gs pos="0">
              <a:schemeClr val="accent5">
                <a:hueOff val="-7353345"/>
                <a:satOff val="-10228"/>
                <a:lumOff val="-3922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5">
                <a:hueOff val="-7353345"/>
                <a:satOff val="-10228"/>
                <a:lumOff val="-3922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5">
                <a:hueOff val="-7353345"/>
                <a:satOff val="-10228"/>
                <a:lumOff val="-3922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4770" tIns="64770" rIns="64770" bIns="64770" numCol="1" spcCol="1270" anchor="ctr" anchorCtr="0">
          <a:noAutofit/>
        </a:bodyPr>
        <a:lstStyle/>
        <a:p>
          <a:pPr lvl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700" kern="1200"/>
            <a:t>Date</a:t>
          </a:r>
        </a:p>
      </dsp:txBody>
      <dsp:txXfrm>
        <a:off x="1149394" y="1017342"/>
        <a:ext cx="670414" cy="670414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3C2B48F8-F2E3-4872-BD61-829884CBC46F}">
      <dsp:nvSpPr>
        <dsp:cNvPr id="0" name=""/>
        <dsp:cNvSpPr/>
      </dsp:nvSpPr>
      <dsp:spPr>
        <a:xfrm>
          <a:off x="773525" y="0"/>
          <a:ext cx="8766620" cy="2015836"/>
        </a:xfrm>
        <a:prstGeom prst="rightArrow">
          <a:avLst/>
        </a:prstGeom>
        <a:solidFill>
          <a:schemeClr val="accent2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34DE89F3-2A32-44BE-88BE-155A93CC7EAA}">
      <dsp:nvSpPr>
        <dsp:cNvPr id="0" name=""/>
        <dsp:cNvSpPr/>
      </dsp:nvSpPr>
      <dsp:spPr>
        <a:xfrm>
          <a:off x="247266" y="604750"/>
          <a:ext cx="3094101" cy="806334"/>
        </a:xfrm>
        <a:prstGeom prst="round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4770" tIns="64770" rIns="64770" bIns="64770" numCol="1" spcCol="1270" anchor="ctr" anchorCtr="0">
          <a:noAutofit/>
        </a:bodyPr>
        <a:lstStyle/>
        <a:p>
          <a:pPr lvl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700" kern="1200"/>
            <a:t>Prepared by </a:t>
          </a:r>
        </a:p>
        <a:p>
          <a:pPr lvl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700" kern="1200"/>
            <a:t>Project Manager</a:t>
          </a:r>
        </a:p>
      </dsp:txBody>
      <dsp:txXfrm>
        <a:off x="286628" y="644112"/>
        <a:ext cx="3015377" cy="727610"/>
      </dsp:txXfrm>
    </dsp:sp>
    <dsp:sp modelId="{456D1756-6610-416D-B45A-F7B4BCDCE86F}">
      <dsp:nvSpPr>
        <dsp:cNvPr id="0" name=""/>
        <dsp:cNvSpPr/>
      </dsp:nvSpPr>
      <dsp:spPr>
        <a:xfrm>
          <a:off x="3609784" y="604750"/>
          <a:ext cx="3094101" cy="806334"/>
        </a:xfrm>
        <a:prstGeom prst="roundRect">
          <a:avLst/>
        </a:prstGeom>
        <a:solidFill>
          <a:schemeClr val="accent3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4770" tIns="64770" rIns="64770" bIns="64770" numCol="1" spcCol="1270" anchor="ctr" anchorCtr="0">
          <a:noAutofit/>
        </a:bodyPr>
        <a:lstStyle/>
        <a:p>
          <a:pPr lvl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700" kern="1200"/>
            <a:t>Reviewed by Senior Project Manager</a:t>
          </a:r>
        </a:p>
      </dsp:txBody>
      <dsp:txXfrm>
        <a:off x="3649146" y="644112"/>
        <a:ext cx="3015377" cy="727610"/>
      </dsp:txXfrm>
    </dsp:sp>
    <dsp:sp modelId="{362869F1-4227-47ED-87BD-D120ECA47682}">
      <dsp:nvSpPr>
        <dsp:cNvPr id="0" name=""/>
        <dsp:cNvSpPr/>
      </dsp:nvSpPr>
      <dsp:spPr>
        <a:xfrm>
          <a:off x="6972303" y="604750"/>
          <a:ext cx="3094101" cy="806334"/>
        </a:xfrm>
        <a:prstGeom prst="roundRect">
          <a:avLst/>
        </a:prstGeom>
        <a:solidFill>
          <a:schemeClr val="accent4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4770" tIns="64770" rIns="64770" bIns="64770" numCol="1" spcCol="1270" anchor="ctr" anchorCtr="0">
          <a:noAutofit/>
        </a:bodyPr>
        <a:lstStyle/>
        <a:p>
          <a:pPr lvl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700" kern="1200"/>
            <a:t>Approved by Regional Manager</a:t>
          </a:r>
        </a:p>
      </dsp:txBody>
      <dsp:txXfrm>
        <a:off x="7011665" y="644112"/>
        <a:ext cx="3015377" cy="727610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matrix3">
  <dgm:title val=""/>
  <dgm:desc val=""/>
  <dgm:catLst>
    <dgm:cat type="matrix" pri="1000"/>
    <dgm:cat type="convert" pri="18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</dgm:ptLst>
      <dgm:cxnLst>
        <dgm:cxn modelId="5" srcId="0" destId="1" srcOrd="0" destOrd="0"/>
        <dgm:cxn modelId="6" srcId="0" destId="2" srcOrd="1" destOrd="0"/>
        <dgm:cxn modelId="7" srcId="0" destId="3" srcOrd="0" destOrd="0"/>
        <dgm:cxn modelId="8" srcId="0" destId="4" srcOrd="1" destOrd="0"/>
      </dgm:cxnLst>
      <dgm:bg/>
      <dgm:whole/>
    </dgm:dataModel>
  </dgm:sampData>
  <dgm:styleData useDef="1">
    <dgm:dataModel>
      <dgm:ptLst/>
      <dgm:bg/>
      <dgm:whole/>
    </dgm:dataModel>
  </dgm:styleData>
  <dgm:clrData useDef="1">
    <dgm:dataModel>
      <dgm:ptLst/>
      <dgm:bg/>
      <dgm:whole/>
    </dgm:dataModel>
  </dgm:clrData>
  <dgm:layoutNode name="matrix">
    <dgm:varLst>
      <dgm:chMax val="1"/>
      <dgm:dir/>
      <dgm:resizeHandles val="exact"/>
    </dgm:varLst>
    <dgm:alg type="composite">
      <dgm:param type="ar" val="1"/>
    </dgm:alg>
    <dgm:shape xmlns:r="http://schemas.openxmlformats.org/officeDocument/2006/relationships" r:blip="">
      <dgm:adjLst/>
    </dgm:shape>
    <dgm:presOf/>
    <dgm:choose name="Name0">
      <dgm:if name="Name1" func="var" arg="dir" op="equ" val="norm">
        <dgm:constrLst>
          <dgm:constr type="w" for="ch" forName="diamond" refType="w"/>
          <dgm:constr type="h" for="ch" forName="diamond" refType="h"/>
          <dgm:constr type="w" for="ch" forName="quad1" refType="w" fact="0.39"/>
          <dgm:constr type="h" for="ch" forName="quad1" refType="h" fact="0.39"/>
          <dgm:constr type="ctrX" for="ch" forName="quad1" refType="w" fact="0.29"/>
          <dgm:constr type="ctrY" for="ch" forName="quad1" refType="h" fact="0.29"/>
          <dgm:constr type="w" for="ch" forName="quad2" refType="w" fact="0.39"/>
          <dgm:constr type="h" for="ch" forName="quad2" refType="h" fact="0.39"/>
          <dgm:constr type="ctrX" for="ch" forName="quad2" refType="w" fact="0.71"/>
          <dgm:constr type="ctrY" for="ch" forName="quad2" refType="h" fact="0.29"/>
          <dgm:constr type="w" for="ch" forName="quad3" refType="w" fact="0.39"/>
          <dgm:constr type="h" for="ch" forName="quad3" refType="h" fact="0.39"/>
          <dgm:constr type="ctrX" for="ch" forName="quad3" refType="w" fact="0.29"/>
          <dgm:constr type="ctrY" for="ch" forName="quad3" refType="h" fact="0.71"/>
          <dgm:constr type="w" for="ch" forName="quad4" refType="w" fact="0.39"/>
          <dgm:constr type="h" for="ch" forName="quad4" refType="h" fact="0.39"/>
          <dgm:constr type="ctrX" for="ch" forName="quad4" refType="w" fact="0.71"/>
          <dgm:constr type="ctrY" for="ch" forName="quad4" refType="h" fact="0.71"/>
          <dgm:constr type="primFontSz" for="des" ptType="node" op="equ" val="65"/>
        </dgm:constrLst>
      </dgm:if>
      <dgm:else name="Name2">
        <dgm:constrLst>
          <dgm:constr type="w" for="ch" forName="diamond" refType="w"/>
          <dgm:constr type="h" for="ch" forName="diamond" refType="h"/>
          <dgm:constr type="w" for="ch" forName="quad1" refType="w" fact="0.39"/>
          <dgm:constr type="h" for="ch" forName="quad1" refType="h" fact="0.39"/>
          <dgm:constr type="ctrX" for="ch" forName="quad1" refType="w" fact="0.71"/>
          <dgm:constr type="ctrY" for="ch" forName="quad1" refType="h" fact="0.29"/>
          <dgm:constr type="w" for="ch" forName="quad2" refType="w" fact="0.39"/>
          <dgm:constr type="h" for="ch" forName="quad2" refType="h" fact="0.39"/>
          <dgm:constr type="ctrX" for="ch" forName="quad2" refType="w" fact="0.29"/>
          <dgm:constr type="ctrY" for="ch" forName="quad2" refType="h" fact="0.29"/>
          <dgm:constr type="w" for="ch" forName="quad3" refType="w" fact="0.39"/>
          <dgm:constr type="h" for="ch" forName="quad3" refType="h" fact="0.39"/>
          <dgm:constr type="ctrX" for="ch" forName="quad3" refType="w" fact="0.71"/>
          <dgm:constr type="ctrY" for="ch" forName="quad3" refType="h" fact="0.71"/>
          <dgm:constr type="w" for="ch" forName="quad4" refType="w" fact="0.39"/>
          <dgm:constr type="h" for="ch" forName="quad4" refType="h" fact="0.39"/>
          <dgm:constr type="ctrX" for="ch" forName="quad4" refType="w" fact="0.29"/>
          <dgm:constr type="ctrY" for="ch" forName="quad4" refType="h" fact="0.71"/>
          <dgm:constr type="primFontSz" for="des" ptType="node" op="equ" val="65"/>
        </dgm:constrLst>
      </dgm:else>
    </dgm:choose>
    <dgm:ruleLst/>
    <dgm:choose name="Name3">
      <dgm:if name="Name4" axis="ch" ptType="node" func="cnt" op="gte" val="1">
        <dgm:layoutNode name="diamond" styleLbl="bgShp">
          <dgm:alg type="sp"/>
          <dgm:shape xmlns:r="http://schemas.openxmlformats.org/officeDocument/2006/relationships" type="diamond" r:blip="">
            <dgm:adjLst/>
          </dgm:shape>
          <dgm:presOf/>
          <dgm:constrLst>
            <dgm:constr type="w" refType="h" op="equ"/>
          </dgm:constrLst>
          <dgm:ruleLst/>
        </dgm:layoutNode>
        <dgm:layoutNode name="quad1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ch desOrSelf" ptType="node node" st="1 1" cnt="1 0"/>
          <dgm:constrLst>
            <dgm:constr type="w" refType="h" op="equ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layoutNode name="quad2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ch desOrSelf" ptType="node node" st="2 1" cnt="1 0"/>
          <dgm:constrLst>
            <dgm:constr type="w" refType="h" op="equ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layoutNode name="quad3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ch desOrSelf" ptType="node node" st="3 1" cnt="1 0"/>
          <dgm:constrLst>
            <dgm:constr type="w" refType="h" op="equ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layoutNode name="quad4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ch desOrSelf" ptType="node node" st="4 1" cnt="1 0"/>
          <dgm:constrLst>
            <dgm:constr type="w" refType="h" op="equ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</dgm:if>
      <dgm:else name="Name5"/>
    </dgm:choose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hProcess9">
  <dgm:title val=""/>
  <dgm:desc val=""/>
  <dgm:catLst>
    <dgm:cat type="process" pri="5000"/>
    <dgm:cat type="convert" pri="13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CompostProcess">
    <dgm:varLst>
      <dgm:dir/>
      <dgm:resizeHandles val="exact"/>
    </dgm:varLst>
    <dgm:alg type="composite">
      <dgm:param type="horzAlign" val="ctr"/>
      <dgm:param type="vertAlign" val="mid"/>
    </dgm:alg>
    <dgm:shape xmlns:r="http://schemas.openxmlformats.org/officeDocument/2006/relationships" r:blip="">
      <dgm:adjLst/>
    </dgm:shape>
    <dgm:presOf/>
    <dgm:constrLst>
      <dgm:constr type="w" for="ch" forName="arrow" refType="w" fact="0.85"/>
      <dgm:constr type="h" for="ch" forName="arrow" refType="h"/>
      <dgm:constr type="ctrX" for="ch" forName="arrow" refType="w" fact="0.5"/>
      <dgm:constr type="ctrY" for="ch" forName="arrow" refType="h" fact="0.5"/>
      <dgm:constr type="w" for="ch" forName="linearProcess" refType="w"/>
      <dgm:constr type="h" for="ch" forName="linearProcess" refType="h" fact="0.4"/>
      <dgm:constr type="ctrX" for="ch" forName="linearProcess" refType="w" fact="0.5"/>
      <dgm:constr type="ctrY" for="ch" forName="linearProcess" refType="h" fact="0.5"/>
    </dgm:constrLst>
    <dgm:ruleLst/>
    <dgm:layoutNode name="arrow" styleLbl="bgShp">
      <dgm:alg type="sp"/>
      <dgm:choose name="Name0">
        <dgm:if name="Name1" func="var" arg="dir" op="equ" val="norm">
          <dgm:shape xmlns:r="http://schemas.openxmlformats.org/officeDocument/2006/relationships" type="rightArrow" r:blip="">
            <dgm:adjLst/>
          </dgm:shape>
        </dgm:if>
        <dgm:else name="Name2">
          <dgm:shape xmlns:r="http://schemas.openxmlformats.org/officeDocument/2006/relationships" type="leftArrow" r:blip="">
            <dgm:adjLst/>
          </dgm:shape>
        </dgm:else>
      </dgm:choose>
      <dgm:presOf/>
      <dgm:constrLst/>
      <dgm:ruleLst/>
    </dgm:layoutNode>
    <dgm:layoutNode name="linearProcess">
      <dgm:choose name="Name3">
        <dgm:if name="Name4" func="var" arg="dir" op="equ" val="norm">
          <dgm:alg type="lin"/>
        </dgm:if>
        <dgm:else name="Name5">
          <dgm:alg type="lin">
            <dgm:param type="linDir" val="fromR"/>
          </dgm:alg>
        </dgm:else>
      </dgm:choose>
      <dgm:shape xmlns:r="http://schemas.openxmlformats.org/officeDocument/2006/relationships" r:blip="">
        <dgm:adjLst/>
      </dgm:shape>
      <dgm:presOf/>
      <dgm:constrLst>
        <dgm:constr type="userA" for="ch" ptType="node" refType="w"/>
        <dgm:constr type="h" for="ch" ptType="node" refType="h"/>
        <dgm:constr type="w" for="ch" ptType="node" op="equ"/>
        <dgm:constr type="w" for="ch" forName="sibTrans" refType="w" fact="0.05"/>
        <dgm:constr type="primFontSz" for="ch" ptType="node" op="equ" val="65"/>
      </dgm:constrLst>
      <dgm:ruleLst/>
      <dgm:forEach name="Name6" axis="ch" ptType="node">
        <dgm:layoutNode name="textNode" styleLbl="node1">
          <dgm:varLst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desOrSelf" ptType="node"/>
          <dgm:constrLst>
            <dgm:constr type="userA"/>
            <dgm:constr type="w" refType="userA" fact="0.3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w" val="NaN" fact="1" max="NaN"/>
            <dgm:rule type="primFontSz" val="5" fact="NaN" max="NaN"/>
          </dgm:ruleLst>
        </dgm:layoutNode>
        <dgm:forEach name="Name7" axis="followSib" ptType="sibTrans" cnt="1">
          <dgm:layoutNode name="sibTrans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forEach>
      </dgm:forEach>
    </dgm:layoutNod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3">
  <dgm:title val=""/>
  <dgm:desc val=""/>
  <dgm:catLst>
    <dgm:cat type="simple" pri="103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lnNode1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dk1"/>
      </a:fontRef>
    </dgm:style>
  </dgm:styleLbl>
  <dgm:styleLbl name="venn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2.xml"/><Relationship Id="rId3" Type="http://schemas.openxmlformats.org/officeDocument/2006/relationships/diagramQuickStyle" Target="../diagrams/quickStyle1.xml"/><Relationship Id="rId7" Type="http://schemas.openxmlformats.org/officeDocument/2006/relationships/diagramLayout" Target="../diagrams/layout2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5" Type="http://schemas.microsoft.com/office/2007/relationships/diagramDrawing" Target="../diagrams/drawing1.xml"/><Relationship Id="rId10" Type="http://schemas.microsoft.com/office/2007/relationships/diagramDrawing" Target="../diagrams/drawing2.xml"/><Relationship Id="rId4" Type="http://schemas.openxmlformats.org/officeDocument/2006/relationships/diagramColors" Target="../diagrams/colors1.xml"/><Relationship Id="rId9" Type="http://schemas.openxmlformats.org/officeDocument/2006/relationships/diagramColors" Target="../diagrams/colors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428626</xdr:colOff>
      <xdr:row>2</xdr:row>
      <xdr:rowOff>0</xdr:rowOff>
    </xdr:from>
    <xdr:to>
      <xdr:col>5</xdr:col>
      <xdr:colOff>346365</xdr:colOff>
      <xdr:row>12</xdr:row>
      <xdr:rowOff>173182</xdr:rowOff>
    </xdr:to>
    <xdr:graphicFrame macro="">
      <xdr:nvGraphicFramePr>
        <xdr:cNvPr id="8" name="Diagram 7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5</xdr:col>
      <xdr:colOff>2580409</xdr:colOff>
      <xdr:row>0</xdr:row>
      <xdr:rowOff>171020</xdr:rowOff>
    </xdr:from>
    <xdr:to>
      <xdr:col>18</xdr:col>
      <xdr:colOff>9353</xdr:colOff>
      <xdr:row>12</xdr:row>
      <xdr:rowOff>108674</xdr:rowOff>
    </xdr:to>
    <xdr:graphicFrame macro="">
      <xdr:nvGraphicFramePr>
        <xdr:cNvPr id="9" name="Diagram 8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eference/Formats/PDS/PMF%20001%20-%20PXP%20TEMPLATE%20-%20v2.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IGATION"/>
      <sheetName val="COVER"/>
      <sheetName val="INSTRUCTIONS"/>
      <sheetName val="GATEWAYS"/>
      <sheetName val="PART 1"/>
      <sheetName val="PART 2"/>
      <sheetName val="PART 3"/>
      <sheetName val="PART 4"/>
      <sheetName val="Go No Go"/>
      <sheetName val="Bid Sign Off"/>
      <sheetName val="File Structure"/>
      <sheetName val="Change Control Register"/>
      <sheetName val="Scope Statement"/>
      <sheetName val="WBS1"/>
      <sheetName val="WBS2"/>
      <sheetName val="RAM"/>
      <sheetName val="EVM"/>
      <sheetName val="Risk Register"/>
      <sheetName val="Risk Management Plan"/>
      <sheetName val="Quality Plan"/>
      <sheetName val="Procurement Plan"/>
      <sheetName val="Environmental Plan"/>
      <sheetName val="Health &amp; Safety Plan"/>
      <sheetName val="Data Security"/>
      <sheetName val="Knowledge Transfer Plan"/>
      <sheetName val="Communications Plan"/>
      <sheetName val="Post Project Appraisal"/>
      <sheetName val="Client Feedback"/>
      <sheetName val="Version Control"/>
    </sheetNames>
    <sheetDataSet>
      <sheetData sheetId="0">
        <row r="3">
          <cell r="AE3" t="str">
            <v>2.8</v>
          </cell>
          <cell r="AF3" t="str">
            <v>01 May 13</v>
          </cell>
        </row>
      </sheetData>
      <sheetData sheetId="1"/>
      <sheetData sheetId="2">
        <row r="4">
          <cell r="Z4" t="str">
            <v>Yes</v>
          </cell>
        </row>
        <row r="5">
          <cell r="Z5" t="str">
            <v>No</v>
          </cell>
        </row>
        <row r="6">
          <cell r="Z6" t="str">
            <v>N/A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2:AA52"/>
  <sheetViews>
    <sheetView showGridLines="0" tabSelected="1" zoomScale="55" zoomScaleNormal="55" workbookViewId="0">
      <selection activeCell="V13" sqref="V13"/>
    </sheetView>
  </sheetViews>
  <sheetFormatPr defaultColWidth="8.25" defaultRowHeight="14.25"/>
  <cols>
    <col min="1" max="2" width="1.5" style="1" customWidth="1"/>
    <col min="3" max="3" width="9" style="1" customWidth="1"/>
    <col min="4" max="4" width="11.125" style="5" customWidth="1"/>
    <col min="5" max="5" width="9.25" style="41" customWidth="1"/>
    <col min="6" max="6" width="35.125" style="2" customWidth="1"/>
    <col min="7" max="7" width="22.75" style="42" customWidth="1"/>
    <col min="8" max="8" width="13.625" style="42" customWidth="1"/>
    <col min="9" max="9" width="11.625" style="45" customWidth="1"/>
    <col min="10" max="21" width="9.5" style="1" customWidth="1"/>
    <col min="22" max="22" width="12.125" style="5" customWidth="1"/>
    <col min="23" max="23" width="12.75" style="5" customWidth="1"/>
    <col min="24" max="24" width="12.25" style="7" customWidth="1"/>
    <col min="25" max="25" width="12.75" style="7" customWidth="1"/>
    <col min="26" max="27" width="1.5" style="1" customWidth="1"/>
    <col min="28" max="16384" width="8.25" style="1"/>
  </cols>
  <sheetData>
    <row r="12" spans="7:17">
      <c r="G12" s="42" t="s">
        <v>67</v>
      </c>
    </row>
    <row r="13" spans="7:17" ht="20.25">
      <c r="G13" s="58" t="s">
        <v>57</v>
      </c>
      <c r="H13" s="59"/>
      <c r="I13" s="59"/>
      <c r="J13" s="59"/>
      <c r="K13" s="59"/>
      <c r="L13" s="59"/>
      <c r="M13" s="59"/>
      <c r="N13" s="59"/>
      <c r="O13" s="59"/>
      <c r="P13" s="59"/>
      <c r="Q13" s="60"/>
    </row>
    <row r="14" spans="7:17" ht="12.75">
      <c r="G14" s="61" t="s">
        <v>56</v>
      </c>
      <c r="H14" s="61"/>
      <c r="I14" s="66"/>
      <c r="J14" s="67"/>
      <c r="K14" s="67"/>
      <c r="L14" s="67"/>
      <c r="M14" s="67"/>
      <c r="N14" s="67"/>
      <c r="O14" s="67"/>
      <c r="P14" s="67"/>
      <c r="Q14" s="68"/>
    </row>
    <row r="15" spans="7:17" ht="12.75">
      <c r="G15" s="69" t="s">
        <v>58</v>
      </c>
      <c r="H15" s="70"/>
      <c r="I15" s="66"/>
      <c r="J15" s="67"/>
      <c r="K15" s="67"/>
      <c r="L15" s="67"/>
      <c r="M15" s="67"/>
      <c r="N15" s="67"/>
      <c r="O15" s="67"/>
      <c r="P15" s="67"/>
      <c r="Q15" s="68"/>
    </row>
    <row r="16" spans="7:17" ht="12.75">
      <c r="G16" s="57" t="s">
        <v>52</v>
      </c>
      <c r="H16" s="57"/>
      <c r="I16" s="71"/>
      <c r="J16" s="72"/>
      <c r="K16" s="72"/>
      <c r="L16" s="72"/>
      <c r="M16" s="73"/>
      <c r="N16" s="74" t="s">
        <v>59</v>
      </c>
      <c r="O16" s="75"/>
      <c r="P16" s="53" t="s">
        <v>51</v>
      </c>
      <c r="Q16" s="55"/>
    </row>
    <row r="17" spans="1:27" ht="12.75">
      <c r="G17" s="62" t="s">
        <v>60</v>
      </c>
      <c r="H17" s="62"/>
      <c r="I17" s="52"/>
      <c r="J17" s="53" t="s">
        <v>61</v>
      </c>
      <c r="K17" s="76"/>
      <c r="L17" s="53" t="s">
        <v>50</v>
      </c>
      <c r="M17" s="54"/>
      <c r="N17" s="74" t="s">
        <v>1</v>
      </c>
      <c r="O17" s="75"/>
      <c r="P17" s="53" t="s">
        <v>53</v>
      </c>
      <c r="Q17" s="55"/>
    </row>
    <row r="18" spans="1:27" ht="25.5">
      <c r="G18" s="77" t="s">
        <v>55</v>
      </c>
      <c r="H18" s="77"/>
      <c r="I18" s="78"/>
      <c r="J18" s="79" t="s">
        <v>54</v>
      </c>
      <c r="K18" s="80"/>
      <c r="L18" s="79" t="s">
        <v>62</v>
      </c>
      <c r="M18" s="80" t="s">
        <v>63</v>
      </c>
      <c r="N18" s="81" t="s">
        <v>64</v>
      </c>
      <c r="O18" s="82"/>
      <c r="P18" s="81" t="s">
        <v>65</v>
      </c>
      <c r="Q18" s="83"/>
    </row>
    <row r="19" spans="1:27" ht="12.75">
      <c r="G19" s="62" t="s">
        <v>54</v>
      </c>
      <c r="H19" s="62"/>
      <c r="I19" s="71"/>
      <c r="J19" s="72"/>
      <c r="K19" s="73"/>
      <c r="L19" s="53" t="s">
        <v>66</v>
      </c>
      <c r="M19" s="56"/>
      <c r="N19" s="84"/>
      <c r="O19" s="75"/>
      <c r="P19" s="84"/>
      <c r="Q19" s="55"/>
    </row>
    <row r="21" spans="1:27" ht="12.75">
      <c r="F21" s="1"/>
      <c r="G21" s="1"/>
      <c r="H21" s="1"/>
      <c r="I21" s="1"/>
    </row>
    <row r="22" spans="1:27" ht="12.75">
      <c r="A22" s="3"/>
      <c r="B22" s="4"/>
      <c r="C22" s="63" t="s">
        <v>3</v>
      </c>
      <c r="D22" s="64"/>
      <c r="E22" s="64"/>
      <c r="F22" s="65"/>
      <c r="G22" s="8"/>
      <c r="H22" s="8"/>
      <c r="I22" s="9"/>
      <c r="J22" s="10"/>
      <c r="K22" s="11"/>
      <c r="L22" s="11"/>
      <c r="M22" s="11"/>
      <c r="N22" s="11"/>
      <c r="O22" s="11" t="s">
        <v>4</v>
      </c>
      <c r="P22" s="11"/>
      <c r="Q22" s="11"/>
      <c r="R22" s="11"/>
      <c r="S22" s="11"/>
      <c r="T22" s="11"/>
      <c r="U22" s="12"/>
      <c r="V22" s="13"/>
      <c r="W22" s="13"/>
      <c r="X22" s="14"/>
      <c r="Y22" s="15"/>
      <c r="Z22" s="3"/>
      <c r="AA22" s="4"/>
    </row>
    <row r="23" spans="1:27" ht="12.75">
      <c r="A23" s="3"/>
      <c r="B23" s="4"/>
      <c r="C23" s="63" t="s">
        <v>5</v>
      </c>
      <c r="D23" s="64"/>
      <c r="E23" s="64"/>
      <c r="F23" s="65"/>
      <c r="G23" s="16"/>
      <c r="H23" s="8"/>
      <c r="I23" s="85"/>
      <c r="J23" s="17">
        <v>42005</v>
      </c>
      <c r="K23" s="17">
        <f t="shared" ref="K23:U23" si="0">J23+32</f>
        <v>42037</v>
      </c>
      <c r="L23" s="17">
        <f t="shared" si="0"/>
        <v>42069</v>
      </c>
      <c r="M23" s="17">
        <f t="shared" si="0"/>
        <v>42101</v>
      </c>
      <c r="N23" s="17">
        <f t="shared" si="0"/>
        <v>42133</v>
      </c>
      <c r="O23" s="17">
        <f t="shared" si="0"/>
        <v>42165</v>
      </c>
      <c r="P23" s="17">
        <f t="shared" si="0"/>
        <v>42197</v>
      </c>
      <c r="Q23" s="17">
        <f t="shared" si="0"/>
        <v>42229</v>
      </c>
      <c r="R23" s="17">
        <f t="shared" si="0"/>
        <v>42261</v>
      </c>
      <c r="S23" s="17">
        <f t="shared" si="0"/>
        <v>42293</v>
      </c>
      <c r="T23" s="17">
        <f t="shared" si="0"/>
        <v>42325</v>
      </c>
      <c r="U23" s="17">
        <f t="shared" si="0"/>
        <v>42357</v>
      </c>
      <c r="V23" s="18" t="s">
        <v>6</v>
      </c>
      <c r="W23" s="18" t="s">
        <v>6</v>
      </c>
      <c r="X23" s="19" t="s">
        <v>7</v>
      </c>
      <c r="Y23" s="20" t="s">
        <v>6</v>
      </c>
      <c r="Z23" s="3"/>
      <c r="AA23" s="4"/>
    </row>
    <row r="24" spans="1:27" s="6" customFormat="1" ht="12.75">
      <c r="A24" s="21"/>
      <c r="B24" s="22"/>
      <c r="C24" s="23" t="s">
        <v>8</v>
      </c>
      <c r="D24" s="23" t="s">
        <v>9</v>
      </c>
      <c r="E24" s="23" t="s">
        <v>10</v>
      </c>
      <c r="F24" s="24"/>
      <c r="G24" s="25" t="s">
        <v>11</v>
      </c>
      <c r="H24" s="25" t="s">
        <v>12</v>
      </c>
      <c r="I24" s="26" t="s">
        <v>13</v>
      </c>
      <c r="J24" s="27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9" t="s">
        <v>14</v>
      </c>
      <c r="W24" s="29" t="s">
        <v>15</v>
      </c>
      <c r="X24" s="19"/>
      <c r="Y24" s="20" t="s">
        <v>16</v>
      </c>
      <c r="Z24" s="21"/>
      <c r="AA24" s="22"/>
    </row>
    <row r="25" spans="1:27">
      <c r="A25" s="3"/>
      <c r="B25" s="4"/>
      <c r="C25" s="30"/>
      <c r="D25" s="31">
        <v>1.4</v>
      </c>
      <c r="E25" s="31"/>
      <c r="F25" s="32" t="s">
        <v>17</v>
      </c>
      <c r="G25" s="33" t="s">
        <v>18</v>
      </c>
      <c r="H25" s="33" t="s">
        <v>0</v>
      </c>
      <c r="I25" s="34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6">
        <f t="shared" ref="V25:V47" si="1">SUM(J25:U25)</f>
        <v>0</v>
      </c>
      <c r="W25" s="37">
        <f t="shared" ref="W25:W47" si="2">V25*I25</f>
        <v>0</v>
      </c>
      <c r="X25" s="14"/>
      <c r="Y25" s="15">
        <f t="shared" ref="Y25:Y47" si="3">W25+X25</f>
        <v>0</v>
      </c>
      <c r="Z25" s="3"/>
      <c r="AA25" s="4"/>
    </row>
    <row r="26" spans="1:27">
      <c r="A26" s="3"/>
      <c r="B26" s="4"/>
      <c r="C26" s="30"/>
      <c r="D26" s="31"/>
      <c r="E26" s="31"/>
      <c r="F26" s="32" t="s">
        <v>49</v>
      </c>
      <c r="G26" s="33"/>
      <c r="H26" s="33"/>
      <c r="I26" s="34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6"/>
      <c r="W26" s="37"/>
      <c r="X26" s="14"/>
      <c r="Y26" s="15"/>
      <c r="Z26" s="3"/>
      <c r="AA26" s="4"/>
    </row>
    <row r="27" spans="1:27">
      <c r="A27" s="3"/>
      <c r="B27" s="4"/>
      <c r="C27" s="30"/>
      <c r="D27" s="31"/>
      <c r="E27" s="31" t="s">
        <v>19</v>
      </c>
      <c r="F27" s="32" t="s">
        <v>20</v>
      </c>
      <c r="G27" s="33" t="s">
        <v>18</v>
      </c>
      <c r="H27" s="33" t="s">
        <v>0</v>
      </c>
      <c r="I27" s="34"/>
      <c r="J27" s="35"/>
      <c r="K27" s="35">
        <v>16</v>
      </c>
      <c r="L27" s="35">
        <v>16</v>
      </c>
      <c r="M27" s="35"/>
      <c r="N27" s="35"/>
      <c r="O27" s="35"/>
      <c r="P27" s="35"/>
      <c r="Q27" s="35"/>
      <c r="R27" s="35"/>
      <c r="S27" s="35"/>
      <c r="T27" s="35"/>
      <c r="U27" s="35"/>
      <c r="V27" s="36">
        <f t="shared" si="1"/>
        <v>32</v>
      </c>
      <c r="W27" s="37">
        <f t="shared" si="2"/>
        <v>0</v>
      </c>
      <c r="X27" s="14"/>
      <c r="Y27" s="15">
        <f t="shared" si="3"/>
        <v>0</v>
      </c>
      <c r="Z27" s="3"/>
      <c r="AA27" s="4"/>
    </row>
    <row r="28" spans="1:27">
      <c r="A28" s="3"/>
      <c r="B28" s="4"/>
      <c r="C28" s="30"/>
      <c r="D28" s="31"/>
      <c r="E28" s="31" t="s">
        <v>21</v>
      </c>
      <c r="F28" s="32" t="s">
        <v>22</v>
      </c>
      <c r="G28" s="33" t="s">
        <v>18</v>
      </c>
      <c r="H28" s="33" t="s">
        <v>0</v>
      </c>
      <c r="I28" s="34"/>
      <c r="J28" s="35"/>
      <c r="K28" s="35">
        <v>16</v>
      </c>
      <c r="L28" s="35">
        <v>16</v>
      </c>
      <c r="M28" s="35"/>
      <c r="N28" s="35"/>
      <c r="O28" s="35"/>
      <c r="P28" s="35"/>
      <c r="Q28" s="35"/>
      <c r="R28" s="35"/>
      <c r="S28" s="35"/>
      <c r="T28" s="35"/>
      <c r="U28" s="35"/>
      <c r="V28" s="36">
        <f t="shared" si="1"/>
        <v>32</v>
      </c>
      <c r="W28" s="37">
        <f t="shared" si="2"/>
        <v>0</v>
      </c>
      <c r="X28" s="14"/>
      <c r="Y28" s="15">
        <f t="shared" si="3"/>
        <v>0</v>
      </c>
      <c r="Z28" s="3"/>
      <c r="AA28" s="4"/>
    </row>
    <row r="29" spans="1:27">
      <c r="A29" s="3"/>
      <c r="B29" s="4"/>
      <c r="C29" s="30"/>
      <c r="D29" s="31"/>
      <c r="E29" s="31" t="s">
        <v>21</v>
      </c>
      <c r="F29" s="32" t="s">
        <v>22</v>
      </c>
      <c r="G29" s="33" t="s">
        <v>23</v>
      </c>
      <c r="H29" s="33" t="s">
        <v>24</v>
      </c>
      <c r="I29" s="34"/>
      <c r="J29" s="35"/>
      <c r="K29" s="35">
        <v>40</v>
      </c>
      <c r="L29" s="35">
        <v>40</v>
      </c>
      <c r="M29" s="35"/>
      <c r="N29" s="35"/>
      <c r="O29" s="35"/>
      <c r="P29" s="35"/>
      <c r="Q29" s="35"/>
      <c r="R29" s="35"/>
      <c r="S29" s="35"/>
      <c r="T29" s="35"/>
      <c r="U29" s="35"/>
      <c r="V29" s="36">
        <f t="shared" si="1"/>
        <v>80</v>
      </c>
      <c r="W29" s="37"/>
      <c r="X29" s="14"/>
      <c r="Y29" s="15"/>
      <c r="Z29" s="3"/>
      <c r="AA29" s="4"/>
    </row>
    <row r="30" spans="1:27">
      <c r="A30" s="3"/>
      <c r="B30" s="4"/>
      <c r="C30" s="30"/>
      <c r="D30" s="31"/>
      <c r="E30" s="31" t="s">
        <v>25</v>
      </c>
      <c r="F30" s="32" t="s">
        <v>26</v>
      </c>
      <c r="G30" s="33" t="s">
        <v>18</v>
      </c>
      <c r="H30" s="33" t="s">
        <v>0</v>
      </c>
      <c r="I30" s="34"/>
      <c r="J30" s="35"/>
      <c r="K30" s="35"/>
      <c r="L30" s="35">
        <v>16</v>
      </c>
      <c r="M30" s="35"/>
      <c r="N30" s="35"/>
      <c r="O30" s="35"/>
      <c r="P30" s="35"/>
      <c r="Q30" s="35"/>
      <c r="R30" s="35"/>
      <c r="S30" s="35"/>
      <c r="T30" s="35"/>
      <c r="U30" s="35"/>
      <c r="V30" s="36">
        <f t="shared" si="1"/>
        <v>16</v>
      </c>
      <c r="W30" s="37">
        <f t="shared" si="2"/>
        <v>0</v>
      </c>
      <c r="X30" s="14"/>
      <c r="Y30" s="15">
        <f t="shared" si="3"/>
        <v>0</v>
      </c>
      <c r="Z30" s="3"/>
      <c r="AA30" s="4"/>
    </row>
    <row r="31" spans="1:27">
      <c r="A31" s="3"/>
      <c r="B31" s="4"/>
      <c r="C31" s="30"/>
      <c r="D31" s="31"/>
      <c r="E31" s="31" t="s">
        <v>27</v>
      </c>
      <c r="F31" s="32" t="s">
        <v>28</v>
      </c>
      <c r="G31" s="33" t="s">
        <v>18</v>
      </c>
      <c r="H31" s="33" t="s">
        <v>0</v>
      </c>
      <c r="I31" s="34"/>
      <c r="J31" s="35"/>
      <c r="K31" s="35">
        <v>24</v>
      </c>
      <c r="L31" s="35">
        <v>16</v>
      </c>
      <c r="M31" s="35"/>
      <c r="N31" s="35"/>
      <c r="O31" s="35"/>
      <c r="P31" s="35"/>
      <c r="Q31" s="35"/>
      <c r="R31" s="35"/>
      <c r="S31" s="35"/>
      <c r="T31" s="35"/>
      <c r="U31" s="35"/>
      <c r="V31" s="36">
        <f t="shared" si="1"/>
        <v>40</v>
      </c>
      <c r="W31" s="37">
        <f t="shared" si="2"/>
        <v>0</v>
      </c>
      <c r="X31" s="14"/>
      <c r="Y31" s="15">
        <f t="shared" si="3"/>
        <v>0</v>
      </c>
      <c r="Z31" s="3"/>
      <c r="AA31" s="4"/>
    </row>
    <row r="32" spans="1:27" ht="25.5">
      <c r="A32" s="3"/>
      <c r="B32" s="4"/>
      <c r="C32" s="30"/>
      <c r="D32" s="31"/>
      <c r="E32" s="31" t="s">
        <v>27</v>
      </c>
      <c r="F32" s="32" t="s">
        <v>28</v>
      </c>
      <c r="G32" s="33" t="s">
        <v>29</v>
      </c>
      <c r="H32" s="33" t="s">
        <v>2</v>
      </c>
      <c r="I32" s="34"/>
      <c r="J32" s="35"/>
      <c r="K32" s="35"/>
      <c r="L32" s="35">
        <v>40</v>
      </c>
      <c r="M32" s="35"/>
      <c r="N32" s="35"/>
      <c r="O32" s="35"/>
      <c r="P32" s="35"/>
      <c r="Q32" s="35"/>
      <c r="R32" s="35"/>
      <c r="S32" s="35"/>
      <c r="T32" s="35"/>
      <c r="U32" s="35"/>
      <c r="V32" s="36">
        <f t="shared" si="1"/>
        <v>40</v>
      </c>
      <c r="W32" s="37"/>
      <c r="X32" s="14"/>
      <c r="Y32" s="15"/>
      <c r="Z32" s="3"/>
      <c r="AA32" s="4"/>
    </row>
    <row r="33" spans="1:27" ht="25.5">
      <c r="A33" s="3"/>
      <c r="B33" s="4"/>
      <c r="C33" s="30"/>
      <c r="D33" s="31"/>
      <c r="E33" s="31" t="s">
        <v>27</v>
      </c>
      <c r="F33" s="32" t="s">
        <v>28</v>
      </c>
      <c r="G33" s="33" t="s">
        <v>30</v>
      </c>
      <c r="H33" s="33" t="s">
        <v>31</v>
      </c>
      <c r="I33" s="34"/>
      <c r="J33" s="35"/>
      <c r="K33" s="35"/>
      <c r="L33" s="35">
        <v>40</v>
      </c>
      <c r="M33" s="35"/>
      <c r="N33" s="35"/>
      <c r="O33" s="35"/>
      <c r="P33" s="35"/>
      <c r="Q33" s="35"/>
      <c r="R33" s="35"/>
      <c r="S33" s="35"/>
      <c r="T33" s="35"/>
      <c r="U33" s="35"/>
      <c r="V33" s="36">
        <f t="shared" si="1"/>
        <v>40</v>
      </c>
      <c r="W33" s="37"/>
      <c r="X33" s="14"/>
      <c r="Y33" s="15"/>
      <c r="Z33" s="3"/>
      <c r="AA33" s="4"/>
    </row>
    <row r="34" spans="1:27">
      <c r="A34" s="3"/>
      <c r="B34" s="4"/>
      <c r="C34" s="30"/>
      <c r="D34" s="31"/>
      <c r="E34" s="31" t="s">
        <v>27</v>
      </c>
      <c r="F34" s="32" t="s">
        <v>28</v>
      </c>
      <c r="G34" s="33" t="s">
        <v>23</v>
      </c>
      <c r="H34" s="33" t="s">
        <v>24</v>
      </c>
      <c r="I34" s="34"/>
      <c r="J34" s="35"/>
      <c r="K34" s="35"/>
      <c r="L34" s="35">
        <v>80</v>
      </c>
      <c r="M34" s="35"/>
      <c r="N34" s="35"/>
      <c r="O34" s="35"/>
      <c r="P34" s="35"/>
      <c r="Q34" s="35"/>
      <c r="R34" s="35"/>
      <c r="S34" s="35"/>
      <c r="T34" s="35"/>
      <c r="U34" s="35"/>
      <c r="V34" s="36">
        <f t="shared" si="1"/>
        <v>80</v>
      </c>
      <c r="W34" s="37"/>
      <c r="X34" s="14"/>
      <c r="Y34" s="15"/>
      <c r="Z34" s="3"/>
      <c r="AA34" s="4"/>
    </row>
    <row r="35" spans="1:27">
      <c r="A35" s="3"/>
      <c r="B35" s="4"/>
      <c r="C35" s="30"/>
      <c r="D35" s="31"/>
      <c r="E35" s="31" t="s">
        <v>32</v>
      </c>
      <c r="F35" s="32" t="s">
        <v>33</v>
      </c>
      <c r="G35" s="33" t="s">
        <v>18</v>
      </c>
      <c r="H35" s="33" t="s">
        <v>0</v>
      </c>
      <c r="I35" s="34"/>
      <c r="J35" s="35"/>
      <c r="K35" s="35"/>
      <c r="L35" s="35">
        <v>8</v>
      </c>
      <c r="M35" s="35"/>
      <c r="N35" s="35"/>
      <c r="O35" s="35"/>
      <c r="P35" s="35"/>
      <c r="Q35" s="35"/>
      <c r="R35" s="35"/>
      <c r="S35" s="35"/>
      <c r="T35" s="35"/>
      <c r="U35" s="35"/>
      <c r="V35" s="36">
        <f t="shared" si="1"/>
        <v>8</v>
      </c>
      <c r="W35" s="37">
        <f t="shared" si="2"/>
        <v>0</v>
      </c>
      <c r="X35" s="14"/>
      <c r="Y35" s="15">
        <f t="shared" si="3"/>
        <v>0</v>
      </c>
      <c r="Z35" s="3"/>
      <c r="AA35" s="4"/>
    </row>
    <row r="36" spans="1:27">
      <c r="A36" s="3"/>
      <c r="B36" s="4"/>
      <c r="C36" s="30"/>
      <c r="D36" s="31">
        <v>1.5</v>
      </c>
      <c r="E36" s="31"/>
      <c r="F36" s="32" t="s">
        <v>34</v>
      </c>
      <c r="G36" s="33"/>
      <c r="H36" s="33"/>
      <c r="I36" s="34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6">
        <f t="shared" si="1"/>
        <v>0</v>
      </c>
      <c r="W36" s="37">
        <f t="shared" si="2"/>
        <v>0</v>
      </c>
      <c r="X36" s="14"/>
      <c r="Y36" s="15">
        <f t="shared" si="3"/>
        <v>0</v>
      </c>
      <c r="Z36" s="3"/>
      <c r="AA36" s="4"/>
    </row>
    <row r="37" spans="1:27">
      <c r="A37" s="3"/>
      <c r="B37" s="4"/>
      <c r="C37" s="30"/>
      <c r="D37" s="31"/>
      <c r="E37" s="31" t="s">
        <v>35</v>
      </c>
      <c r="F37" s="32" t="s">
        <v>36</v>
      </c>
      <c r="G37" s="33" t="s">
        <v>18</v>
      </c>
      <c r="H37" s="33" t="s">
        <v>0</v>
      </c>
      <c r="I37" s="34"/>
      <c r="J37" s="35"/>
      <c r="K37" s="35"/>
      <c r="L37" s="35">
        <v>24</v>
      </c>
      <c r="M37" s="35"/>
      <c r="N37" s="35"/>
      <c r="O37" s="35"/>
      <c r="P37" s="35"/>
      <c r="Q37" s="35"/>
      <c r="R37" s="35"/>
      <c r="S37" s="35"/>
      <c r="T37" s="35"/>
      <c r="U37" s="35"/>
      <c r="V37" s="36">
        <f t="shared" si="1"/>
        <v>24</v>
      </c>
      <c r="W37" s="37">
        <f t="shared" si="2"/>
        <v>0</v>
      </c>
      <c r="X37" s="14"/>
      <c r="Y37" s="15">
        <f t="shared" si="3"/>
        <v>0</v>
      </c>
      <c r="Z37" s="3"/>
      <c r="AA37" s="4"/>
    </row>
    <row r="38" spans="1:27" ht="25.5">
      <c r="A38" s="3"/>
      <c r="B38" s="4"/>
      <c r="C38" s="30"/>
      <c r="D38" s="31"/>
      <c r="E38" s="31" t="s">
        <v>37</v>
      </c>
      <c r="F38" s="32" t="s">
        <v>36</v>
      </c>
      <c r="G38" s="33" t="s">
        <v>29</v>
      </c>
      <c r="H38" s="33" t="s">
        <v>2</v>
      </c>
      <c r="I38" s="34"/>
      <c r="J38" s="35"/>
      <c r="K38" s="35"/>
      <c r="L38" s="35">
        <v>16</v>
      </c>
      <c r="M38" s="35"/>
      <c r="N38" s="35"/>
      <c r="O38" s="35"/>
      <c r="P38" s="35"/>
      <c r="Q38" s="35"/>
      <c r="R38" s="35"/>
      <c r="S38" s="35"/>
      <c r="T38" s="35"/>
      <c r="U38" s="35"/>
      <c r="V38" s="36">
        <f t="shared" si="1"/>
        <v>16</v>
      </c>
      <c r="W38" s="37"/>
      <c r="X38" s="14"/>
      <c r="Y38" s="15"/>
      <c r="Z38" s="3"/>
      <c r="AA38" s="4"/>
    </row>
    <row r="39" spans="1:27" ht="25.5">
      <c r="A39" s="3"/>
      <c r="B39" s="4"/>
      <c r="C39" s="30"/>
      <c r="D39" s="31"/>
      <c r="E39" s="31" t="s">
        <v>35</v>
      </c>
      <c r="F39" s="32" t="s">
        <v>36</v>
      </c>
      <c r="G39" s="33" t="s">
        <v>30</v>
      </c>
      <c r="H39" s="33" t="s">
        <v>31</v>
      </c>
      <c r="I39" s="34"/>
      <c r="J39" s="35"/>
      <c r="K39" s="35"/>
      <c r="L39" s="35">
        <v>16</v>
      </c>
      <c r="M39" s="35"/>
      <c r="N39" s="35"/>
      <c r="O39" s="35"/>
      <c r="P39" s="35"/>
      <c r="Q39" s="35"/>
      <c r="R39" s="35"/>
      <c r="S39" s="35"/>
      <c r="T39" s="35"/>
      <c r="U39" s="35"/>
      <c r="V39" s="36">
        <f t="shared" si="1"/>
        <v>16</v>
      </c>
      <c r="W39" s="37"/>
      <c r="X39" s="14"/>
      <c r="Y39" s="15"/>
      <c r="Z39" s="3"/>
      <c r="AA39" s="4"/>
    </row>
    <row r="40" spans="1:27">
      <c r="A40" s="3"/>
      <c r="B40" s="4"/>
      <c r="C40" s="30"/>
      <c r="D40" s="31"/>
      <c r="E40" s="31" t="s">
        <v>38</v>
      </c>
      <c r="F40" s="32" t="s">
        <v>39</v>
      </c>
      <c r="G40" s="33" t="s">
        <v>18</v>
      </c>
      <c r="H40" s="33" t="s">
        <v>0</v>
      </c>
      <c r="I40" s="34"/>
      <c r="J40" s="35"/>
      <c r="K40" s="35"/>
      <c r="L40" s="35">
        <v>16</v>
      </c>
      <c r="M40" s="35"/>
      <c r="N40" s="35"/>
      <c r="O40" s="35"/>
      <c r="P40" s="35"/>
      <c r="Q40" s="35"/>
      <c r="R40" s="35"/>
      <c r="S40" s="35"/>
      <c r="T40" s="35"/>
      <c r="U40" s="35"/>
      <c r="V40" s="36">
        <f t="shared" si="1"/>
        <v>16</v>
      </c>
      <c r="W40" s="37">
        <f t="shared" si="2"/>
        <v>0</v>
      </c>
      <c r="X40" s="14"/>
      <c r="Y40" s="15">
        <f t="shared" si="3"/>
        <v>0</v>
      </c>
      <c r="Z40" s="3"/>
      <c r="AA40" s="4"/>
    </row>
    <row r="41" spans="1:27">
      <c r="A41" s="3"/>
      <c r="B41" s="4"/>
      <c r="C41" s="30"/>
      <c r="D41" s="31"/>
      <c r="E41" s="31" t="s">
        <v>40</v>
      </c>
      <c r="F41" s="32" t="s">
        <v>41</v>
      </c>
      <c r="G41" s="33" t="s">
        <v>18</v>
      </c>
      <c r="H41" s="33" t="s">
        <v>0</v>
      </c>
      <c r="I41" s="34"/>
      <c r="J41" s="35"/>
      <c r="K41" s="35"/>
      <c r="L41" s="35">
        <v>8</v>
      </c>
      <c r="M41" s="35"/>
      <c r="N41" s="35"/>
      <c r="O41" s="35"/>
      <c r="P41" s="35"/>
      <c r="Q41" s="35"/>
      <c r="R41" s="35"/>
      <c r="S41" s="35"/>
      <c r="T41" s="35"/>
      <c r="U41" s="35"/>
      <c r="V41" s="36">
        <f t="shared" si="1"/>
        <v>8</v>
      </c>
      <c r="W41" s="37">
        <f t="shared" si="2"/>
        <v>0</v>
      </c>
      <c r="X41" s="14"/>
      <c r="Y41" s="15">
        <f t="shared" si="3"/>
        <v>0</v>
      </c>
      <c r="Z41" s="3"/>
      <c r="AA41" s="4"/>
    </row>
    <row r="42" spans="1:27">
      <c r="A42" s="3"/>
      <c r="B42" s="4"/>
      <c r="C42" s="30"/>
      <c r="D42" s="31">
        <v>1.6</v>
      </c>
      <c r="E42" s="31"/>
      <c r="F42" s="32" t="s">
        <v>42</v>
      </c>
      <c r="G42" s="33"/>
      <c r="H42" s="33"/>
      <c r="I42" s="34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6">
        <f t="shared" si="1"/>
        <v>0</v>
      </c>
      <c r="W42" s="37">
        <f t="shared" si="2"/>
        <v>0</v>
      </c>
      <c r="X42" s="14"/>
      <c r="Y42" s="15">
        <f t="shared" si="3"/>
        <v>0</v>
      </c>
      <c r="Z42" s="3"/>
      <c r="AA42" s="4"/>
    </row>
    <row r="43" spans="1:27">
      <c r="A43" s="3"/>
      <c r="B43" s="4"/>
      <c r="C43" s="30"/>
      <c r="D43" s="31"/>
      <c r="E43" s="31" t="s">
        <v>43</v>
      </c>
      <c r="F43" s="32" t="s">
        <v>44</v>
      </c>
      <c r="G43" s="33" t="s">
        <v>18</v>
      </c>
      <c r="H43" s="33" t="s">
        <v>0</v>
      </c>
      <c r="I43" s="34"/>
      <c r="J43" s="35"/>
      <c r="K43" s="35"/>
      <c r="L43" s="35">
        <v>40</v>
      </c>
      <c r="M43" s="35"/>
      <c r="N43" s="35"/>
      <c r="O43" s="35"/>
      <c r="P43" s="35"/>
      <c r="Q43" s="35"/>
      <c r="R43" s="35"/>
      <c r="S43" s="35"/>
      <c r="T43" s="35"/>
      <c r="U43" s="35"/>
      <c r="V43" s="36">
        <f t="shared" si="1"/>
        <v>40</v>
      </c>
      <c r="W43" s="37">
        <f t="shared" si="2"/>
        <v>0</v>
      </c>
      <c r="X43" s="14"/>
      <c r="Y43" s="15">
        <f t="shared" si="3"/>
        <v>0</v>
      </c>
      <c r="Z43" s="3"/>
      <c r="AA43" s="4"/>
    </row>
    <row r="44" spans="1:27" ht="25.5">
      <c r="A44" s="3"/>
      <c r="B44" s="4"/>
      <c r="C44" s="30"/>
      <c r="D44" s="31"/>
      <c r="E44" s="31" t="s">
        <v>43</v>
      </c>
      <c r="F44" s="32" t="s">
        <v>44</v>
      </c>
      <c r="G44" s="33" t="s">
        <v>29</v>
      </c>
      <c r="H44" s="33" t="s">
        <v>2</v>
      </c>
      <c r="I44" s="34"/>
      <c r="J44" s="35"/>
      <c r="K44" s="35"/>
      <c r="L44" s="35">
        <v>16</v>
      </c>
      <c r="M44" s="35"/>
      <c r="N44" s="35"/>
      <c r="O44" s="35"/>
      <c r="P44" s="35"/>
      <c r="Q44" s="35"/>
      <c r="R44" s="35"/>
      <c r="S44" s="35"/>
      <c r="T44" s="35"/>
      <c r="U44" s="35"/>
      <c r="V44" s="36">
        <f t="shared" si="1"/>
        <v>16</v>
      </c>
      <c r="W44" s="37"/>
      <c r="X44" s="14"/>
      <c r="Y44" s="15"/>
      <c r="Z44" s="3"/>
      <c r="AA44" s="4"/>
    </row>
    <row r="45" spans="1:27" ht="25.5">
      <c r="A45" s="3"/>
      <c r="B45" s="4"/>
      <c r="C45" s="30"/>
      <c r="D45" s="31"/>
      <c r="E45" s="31" t="s">
        <v>43</v>
      </c>
      <c r="F45" s="32" t="s">
        <v>44</v>
      </c>
      <c r="G45" s="33" t="s">
        <v>30</v>
      </c>
      <c r="H45" s="33" t="s">
        <v>31</v>
      </c>
      <c r="I45" s="34"/>
      <c r="J45" s="35"/>
      <c r="K45" s="35"/>
      <c r="L45" s="35">
        <v>16</v>
      </c>
      <c r="M45" s="35"/>
      <c r="N45" s="35"/>
      <c r="O45" s="35"/>
      <c r="P45" s="35"/>
      <c r="Q45" s="35"/>
      <c r="R45" s="35"/>
      <c r="S45" s="35"/>
      <c r="T45" s="35"/>
      <c r="U45" s="35"/>
      <c r="V45" s="36">
        <f t="shared" si="1"/>
        <v>16</v>
      </c>
      <c r="W45" s="37"/>
      <c r="X45" s="14"/>
      <c r="Y45" s="15"/>
      <c r="Z45" s="3"/>
      <c r="AA45" s="4"/>
    </row>
    <row r="46" spans="1:27">
      <c r="A46" s="3"/>
      <c r="B46" s="4"/>
      <c r="C46" s="30"/>
      <c r="D46" s="31"/>
      <c r="E46" s="31" t="s">
        <v>45</v>
      </c>
      <c r="F46" s="32" t="s">
        <v>46</v>
      </c>
      <c r="G46" s="33" t="s">
        <v>18</v>
      </c>
      <c r="H46" s="33" t="s">
        <v>0</v>
      </c>
      <c r="I46" s="34"/>
      <c r="J46" s="35"/>
      <c r="K46" s="35"/>
      <c r="L46" s="35">
        <v>8</v>
      </c>
      <c r="M46" s="35"/>
      <c r="N46" s="35"/>
      <c r="O46" s="35"/>
      <c r="P46" s="35"/>
      <c r="Q46" s="35"/>
      <c r="R46" s="35"/>
      <c r="S46" s="35"/>
      <c r="T46" s="35"/>
      <c r="U46" s="35"/>
      <c r="V46" s="36">
        <f t="shared" si="1"/>
        <v>8</v>
      </c>
      <c r="W46" s="37">
        <f t="shared" si="2"/>
        <v>0</v>
      </c>
      <c r="X46" s="14"/>
      <c r="Y46" s="15">
        <f t="shared" si="3"/>
        <v>0</v>
      </c>
      <c r="Z46" s="3"/>
      <c r="AA46" s="4"/>
    </row>
    <row r="47" spans="1:27">
      <c r="A47" s="3"/>
      <c r="B47" s="4"/>
      <c r="C47" s="38"/>
      <c r="D47" s="39"/>
      <c r="E47" s="40"/>
      <c r="F47" s="38"/>
      <c r="G47" s="33"/>
      <c r="H47" s="33"/>
      <c r="I47" s="34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6">
        <f t="shared" si="1"/>
        <v>0</v>
      </c>
      <c r="W47" s="37">
        <f t="shared" si="2"/>
        <v>0</v>
      </c>
      <c r="X47" s="14"/>
      <c r="Y47" s="15">
        <f t="shared" si="3"/>
        <v>0</v>
      </c>
      <c r="Z47" s="3"/>
      <c r="AA47" s="4"/>
    </row>
    <row r="48" spans="1:27" ht="12.75">
      <c r="A48" s="3"/>
      <c r="B48" s="4"/>
      <c r="I48" s="13" t="s">
        <v>47</v>
      </c>
      <c r="J48" s="36">
        <f t="shared" ref="J48:Y48" si="4">SUBTOTAL(9,J24:J47)</f>
        <v>0</v>
      </c>
      <c r="K48" s="36">
        <f t="shared" si="4"/>
        <v>96</v>
      </c>
      <c r="L48" s="36">
        <f t="shared" si="4"/>
        <v>432</v>
      </c>
      <c r="M48" s="36">
        <f t="shared" si="4"/>
        <v>0</v>
      </c>
      <c r="N48" s="36">
        <f t="shared" si="4"/>
        <v>0</v>
      </c>
      <c r="O48" s="36">
        <f t="shared" si="4"/>
        <v>0</v>
      </c>
      <c r="P48" s="36">
        <f t="shared" si="4"/>
        <v>0</v>
      </c>
      <c r="Q48" s="36">
        <f t="shared" si="4"/>
        <v>0</v>
      </c>
      <c r="R48" s="36">
        <f t="shared" si="4"/>
        <v>0</v>
      </c>
      <c r="S48" s="36">
        <f t="shared" si="4"/>
        <v>0</v>
      </c>
      <c r="T48" s="36">
        <f t="shared" si="4"/>
        <v>0</v>
      </c>
      <c r="U48" s="36">
        <f t="shared" si="4"/>
        <v>0</v>
      </c>
      <c r="V48" s="36">
        <f t="shared" si="4"/>
        <v>528</v>
      </c>
      <c r="W48" s="37">
        <f t="shared" si="4"/>
        <v>0</v>
      </c>
      <c r="X48" s="14">
        <f t="shared" si="4"/>
        <v>0</v>
      </c>
      <c r="Y48" s="15">
        <f t="shared" si="4"/>
        <v>0</v>
      </c>
      <c r="Z48" s="3"/>
      <c r="AA48" s="4"/>
    </row>
    <row r="49" spans="1:27" ht="12.75">
      <c r="A49" s="3"/>
      <c r="B49" s="4"/>
      <c r="I49" s="13" t="s">
        <v>48</v>
      </c>
      <c r="J49" s="43">
        <f t="shared" ref="J49:U49" si="5">SUMPRODUCT($I$25:$I$47,J25:J47)</f>
        <v>0</v>
      </c>
      <c r="K49" s="43">
        <f t="shared" si="5"/>
        <v>0</v>
      </c>
      <c r="L49" s="43">
        <f t="shared" si="5"/>
        <v>0</v>
      </c>
      <c r="M49" s="43">
        <f t="shared" si="5"/>
        <v>0</v>
      </c>
      <c r="N49" s="43">
        <f t="shared" si="5"/>
        <v>0</v>
      </c>
      <c r="O49" s="43">
        <f t="shared" si="5"/>
        <v>0</v>
      </c>
      <c r="P49" s="43">
        <f t="shared" si="5"/>
        <v>0</v>
      </c>
      <c r="Q49" s="43">
        <f t="shared" si="5"/>
        <v>0</v>
      </c>
      <c r="R49" s="43">
        <f t="shared" si="5"/>
        <v>0</v>
      </c>
      <c r="S49" s="43">
        <f t="shared" si="5"/>
        <v>0</v>
      </c>
      <c r="T49" s="43">
        <f t="shared" si="5"/>
        <v>0</v>
      </c>
      <c r="U49" s="43">
        <f t="shared" si="5"/>
        <v>0</v>
      </c>
      <c r="W49" s="44">
        <f>SUM(J49:U49)</f>
        <v>0</v>
      </c>
      <c r="Y49" s="15">
        <f>W48+X48</f>
        <v>0</v>
      </c>
      <c r="Z49" s="3"/>
      <c r="AA49" s="4"/>
    </row>
    <row r="50" spans="1:27" ht="15" customHeight="1">
      <c r="A50" s="3"/>
      <c r="B50" s="4"/>
      <c r="W50" s="46" t="str">
        <f>IF(W48=W49,"(Check: OK)","(Check: ERROR!)")</f>
        <v>(Check: OK)</v>
      </c>
      <c r="Y50" s="47" t="str">
        <f>IF(Y48=Y49,"(Check: OK)","(Check: ERROR!)")</f>
        <v>(Check: OK)</v>
      </c>
      <c r="Z50" s="3"/>
      <c r="AA50" s="4"/>
    </row>
    <row r="51" spans="1:27" ht="15" thickBot="1">
      <c r="A51" s="3"/>
      <c r="B51" s="4"/>
      <c r="Z51" s="3"/>
      <c r="AA51" s="4"/>
    </row>
    <row r="52" spans="1:27" ht="13.5" thickTop="1">
      <c r="A52" s="48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50"/>
      <c r="W52" s="50"/>
      <c r="X52" s="51"/>
      <c r="Y52" s="51"/>
      <c r="Z52" s="49"/>
      <c r="AA52" s="48"/>
    </row>
  </sheetData>
  <autoFilter ref="C24:I47"/>
  <mergeCells count="13">
    <mergeCell ref="G17:H17"/>
    <mergeCell ref="G18:H18"/>
    <mergeCell ref="G19:H19"/>
    <mergeCell ref="I19:K19"/>
    <mergeCell ref="G13:Q13"/>
    <mergeCell ref="G14:H14"/>
    <mergeCell ref="I14:Q14"/>
    <mergeCell ref="G15:H15"/>
    <mergeCell ref="I15:Q15"/>
    <mergeCell ref="G16:H16"/>
    <mergeCell ref="I16:M16"/>
    <mergeCell ref="C23:F23"/>
    <mergeCell ref="C22:F22"/>
  </mergeCells>
  <printOptions horizontalCentered="1"/>
  <pageMargins left="0.27559055118110198" right="0.196850393700787" top="0.196850393700787" bottom="0.39370078740157499" header="0.196850393700787" footer="0.196850393700787"/>
  <pageSetup paperSize="9" scale="45" orientation="landscape" r:id="rId1"/>
  <headerFooter alignWithMargins="0">
    <oddFooter>&amp;LPROJECT EXECUTION PLAN
Work Breakdown Structure &amp;CPage &amp;P of &amp;N&amp;R&amp;D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Manasi_13122016_Comments</cp:lastModifiedBy>
  <dcterms:created xsi:type="dcterms:W3CDTF">2016-12-30T05:24:51Z</dcterms:created>
  <dcterms:modified xsi:type="dcterms:W3CDTF">2017-01-06T09:45:37Z</dcterms:modified>
</cp:coreProperties>
</file>